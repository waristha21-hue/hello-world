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ymind_Calculation Worksheet\2024 DP-H10\ราคาและเงื่อนไขการขายเครื่อง DP-H10 (ผ่านบริษัทพาวเวอร์ เมด จำกัด)_Mar-2024\"/>
    </mc:Choice>
  </mc:AlternateContent>
  <xr:revisionPtr revIDLastSave="0" documentId="13_ncr:1_{C799FE13-5F14-456B-A7BA-B470412CF3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P-H10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25" l="1"/>
  <c r="F13" i="25"/>
  <c r="F6" i="25"/>
</calcChain>
</file>

<file path=xl/sharedStrings.xml><?xml version="1.0" encoding="utf-8"?>
<sst xmlns="http://schemas.openxmlformats.org/spreadsheetml/2006/main" count="30" uniqueCount="22">
  <si>
    <t>No.</t>
  </si>
  <si>
    <t>Product No.</t>
  </si>
  <si>
    <t>Price/Box</t>
  </si>
  <si>
    <t>w/o VAT</t>
  </si>
  <si>
    <t>w/VAT</t>
  </si>
  <si>
    <t>3 mL / Vial</t>
  </si>
  <si>
    <t>Description</t>
  </si>
  <si>
    <t>Calibrator &amp; Control</t>
  </si>
  <si>
    <t>1 Vial</t>
  </si>
  <si>
    <t>หมายเหตุ :  ราคาอาจเปลี่ยนแปลงได้ตามความเหมาะสม</t>
  </si>
  <si>
    <t>DYM-12.02.0595A</t>
  </si>
  <si>
    <t>PTD-1 Hematology Analyzer Reagent Kit (Diluent and Lyse) - 50 Tests/kit (DP-H10)</t>
  </si>
  <si>
    <t>No. Test/Box</t>
  </si>
  <si>
    <t xml:space="preserve">Dymind DP-H10 Reagent Pricelist </t>
  </si>
  <si>
    <t>Reagent Kit</t>
  </si>
  <si>
    <t>Approved by: ………………………...…</t>
  </si>
  <si>
    <t>1 Set</t>
  </si>
  <si>
    <t>12.01.0607A</t>
  </si>
  <si>
    <t>DM-CAL Hematology Calibrator - 3mLx1</t>
  </si>
  <si>
    <t>12.01.1806A</t>
  </si>
  <si>
    <t>DM-3D Hematology Control - 3mL(H)x1, 3mL(N)x1, 3mL(L)x1</t>
  </si>
  <si>
    <t>Effective : March 12,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</si>
</sst>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17">
    <font>
      <sz val="14"/>
      <name val="Microsoft Sans Serif"/>
      <charset val="222"/>
    </font>
    <font>
      <sz val="14"/>
      <name val="Microsoft Sans Serif"/>
      <family val="2"/>
    </font>
    <font>
      <b/>
      <sz val="25"/>
      <name val="AngsanaUPC"/>
      <family val="1"/>
    </font>
    <font>
      <b/>
      <sz val="28"/>
      <name val="AngsanaUPC"/>
      <family val="1"/>
    </font>
    <font>
      <b/>
      <sz val="18"/>
      <name val="AngsanaUPC"/>
      <family val="1"/>
    </font>
    <font>
      <sz val="18"/>
      <name val="AngsanaUPC"/>
      <family val="1"/>
    </font>
    <font>
      <b/>
      <sz val="18"/>
      <name val="AngsanaUPC"/>
      <family val="1"/>
    </font>
    <font>
      <b/>
      <sz val="16"/>
      <name val="AngsanaUPC"/>
      <family val="1"/>
    </font>
    <font>
      <sz val="16"/>
      <name val="AngsanaUPC"/>
      <family val="1"/>
    </font>
    <font>
      <b/>
      <sz val="24"/>
      <name val="AngsanaUPC"/>
      <family val="1"/>
    </font>
    <font>
      <sz val="14"/>
      <name val="Microsoft Sans Serif"/>
      <family val="2"/>
    </font>
    <font>
      <sz val="14"/>
      <name val="Cordia New"/>
      <family val="2"/>
    </font>
    <font>
      <sz val="11"/>
      <name val="ＭＳ Ｐゴシック"/>
      <family val="3"/>
      <charset val="128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0"/>
      <name val="AngsanaUPC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2" fillId="0" borderId="0">
      <alignment vertical="center"/>
    </xf>
  </cellStyleXfs>
  <cellXfs count="5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1" applyFont="1"/>
    <xf numFmtId="165" fontId="5" fillId="0" borderId="0" xfId="1" applyNumberFormat="1" applyFont="1"/>
    <xf numFmtId="164" fontId="6" fillId="0" borderId="0" xfId="1" applyFont="1"/>
    <xf numFmtId="165" fontId="6" fillId="0" borderId="0" xfId="1" applyNumberFormat="1" applyFont="1"/>
    <xf numFmtId="0" fontId="7" fillId="0" borderId="0" xfId="0" applyFont="1"/>
    <xf numFmtId="0" fontId="8" fillId="0" borderId="0" xfId="0" applyFont="1"/>
    <xf numFmtId="0" fontId="7" fillId="0" borderId="7" xfId="0" applyFont="1" applyBorder="1" applyAlignment="1">
      <alignment horizontal="centerContinuous"/>
    </xf>
    <xf numFmtId="0" fontId="7" fillId="0" borderId="8" xfId="0" applyFont="1" applyBorder="1" applyAlignment="1">
      <alignment horizontal="centerContinuous"/>
    </xf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13" fillId="0" borderId="0" xfId="0" applyFont="1" applyAlignment="1">
      <alignment vertical="center"/>
    </xf>
    <xf numFmtId="165" fontId="5" fillId="0" borderId="0" xfId="3" applyNumberFormat="1" applyFont="1"/>
    <xf numFmtId="164" fontId="4" fillId="0" borderId="0" xfId="3" applyFont="1"/>
    <xf numFmtId="0" fontId="14" fillId="0" borderId="0" xfId="0" applyFont="1" applyAlignment="1">
      <alignment vertical="center"/>
    </xf>
    <xf numFmtId="164" fontId="5" fillId="0" borderId="0" xfId="3" applyFont="1"/>
    <xf numFmtId="37" fontId="4" fillId="0" borderId="0" xfId="0" applyNumberFormat="1" applyFont="1"/>
    <xf numFmtId="164" fontId="15" fillId="0" borderId="0" xfId="3" applyFont="1" applyAlignment="1">
      <alignment horizontal="left" vertical="center"/>
    </xf>
    <xf numFmtId="0" fontId="16" fillId="0" borderId="0" xfId="0" applyFont="1" applyAlignment="1">
      <alignment horizontal="center"/>
    </xf>
    <xf numFmtId="164" fontId="7" fillId="0" borderId="7" xfId="1" applyFont="1" applyFill="1" applyBorder="1" applyAlignment="1">
      <alignment horizontal="centerContinuous"/>
    </xf>
    <xf numFmtId="165" fontId="7" fillId="0" borderId="8" xfId="1" applyNumberFormat="1" applyFont="1" applyFill="1" applyBorder="1" applyAlignment="1">
      <alignment horizontal="centerContinuous"/>
    </xf>
    <xf numFmtId="0" fontId="2" fillId="0" borderId="0" xfId="0" applyFont="1"/>
    <xf numFmtId="164" fontId="2" fillId="0" borderId="0" xfId="1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164" fontId="3" fillId="0" borderId="0" xfId="1" applyFont="1" applyFill="1" applyBorder="1" applyAlignment="1">
      <alignment horizontal="centerContinuous"/>
    </xf>
    <xf numFmtId="165" fontId="3" fillId="0" borderId="0" xfId="1" applyNumberFormat="1" applyFont="1" applyFill="1" applyBorder="1" applyAlignment="1">
      <alignment horizontal="centerContinuous"/>
    </xf>
    <xf numFmtId="165" fontId="3" fillId="0" borderId="0" xfId="1" applyNumberFormat="1" applyFont="1" applyFill="1" applyAlignment="1"/>
    <xf numFmtId="164" fontId="3" fillId="0" borderId="0" xfId="1" applyFont="1" applyFill="1" applyAlignment="1"/>
    <xf numFmtId="0" fontId="8" fillId="0" borderId="6" xfId="0" applyFont="1" applyBorder="1" applyAlignment="1">
      <alignment horizontal="left"/>
    </xf>
    <xf numFmtId="164" fontId="8" fillId="0" borderId="1" xfId="1" applyFont="1" applyFill="1" applyBorder="1"/>
    <xf numFmtId="0" fontId="8" fillId="0" borderId="0" xfId="0" applyFont="1" applyAlignment="1">
      <alignment horizontal="centerContinuous"/>
    </xf>
    <xf numFmtId="166" fontId="8" fillId="0" borderId="0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1" applyFont="1" applyFill="1" applyBorder="1"/>
    <xf numFmtId="165" fontId="8" fillId="0" borderId="0" xfId="1" applyNumberFormat="1" applyFont="1" applyFill="1" applyBorder="1"/>
    <xf numFmtId="164" fontId="7" fillId="0" borderId="0" xfId="1" applyFont="1" applyFill="1" applyBorder="1"/>
    <xf numFmtId="164" fontId="7" fillId="0" borderId="2" xfId="1" applyFont="1" applyFill="1" applyBorder="1" applyAlignment="1">
      <alignment horizontal="centerContinuous"/>
    </xf>
    <xf numFmtId="165" fontId="7" fillId="0" borderId="5" xfId="1" applyNumberFormat="1" applyFont="1" applyFill="1" applyBorder="1" applyAlignment="1">
      <alignment horizontal="centerContinuous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Continuous"/>
    </xf>
    <xf numFmtId="165" fontId="8" fillId="0" borderId="0" xfId="1" applyNumberFormat="1" applyFont="1" applyFill="1"/>
    <xf numFmtId="164" fontId="7" fillId="0" borderId="0" xfId="1" applyFont="1" applyFill="1"/>
    <xf numFmtId="166" fontId="8" fillId="0" borderId="6" xfId="1" applyNumberFormat="1" applyFont="1" applyFill="1" applyBorder="1" applyAlignment="1">
      <alignment horizontal="center"/>
    </xf>
    <xf numFmtId="0" fontId="8" fillId="0" borderId="6" xfId="1" applyNumberFormat="1" applyFont="1" applyFill="1" applyBorder="1" applyAlignment="1">
      <alignment horizontal="center"/>
    </xf>
    <xf numFmtId="164" fontId="8" fillId="0" borderId="6" xfId="1" applyFont="1" applyFill="1" applyBorder="1"/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64" fontId="9" fillId="0" borderId="9" xfId="1" applyFont="1" applyFill="1" applyBorder="1" applyAlignment="1">
      <alignment horizontal="center" vertical="center"/>
    </xf>
    <xf numFmtId="164" fontId="9" fillId="0" borderId="10" xfId="1" applyFont="1" applyFill="1" applyBorder="1" applyAlignment="1">
      <alignment horizontal="center" vertical="center"/>
    </xf>
    <xf numFmtId="164" fontId="9" fillId="0" borderId="11" xfId="1" applyFont="1" applyFill="1" applyBorder="1" applyAlignment="1">
      <alignment horizontal="center" vertical="center"/>
    </xf>
  </cellXfs>
  <cellStyles count="6">
    <cellStyle name="Comma" xfId="1" builtinId="3"/>
    <cellStyle name="Comma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9"/>
  <sheetViews>
    <sheetView tabSelected="1" zoomScale="80" zoomScaleNormal="80" workbookViewId="0">
      <selection activeCell="K17" sqref="K17"/>
    </sheetView>
  </sheetViews>
  <sheetFormatPr defaultColWidth="8.8125" defaultRowHeight="26"/>
  <cols>
    <col min="1" max="1" width="3.1875" style="2" customWidth="1"/>
    <col min="2" max="2" width="12" style="2" customWidth="1"/>
    <col min="3" max="3" width="48.5" style="3" customWidth="1"/>
    <col min="4" max="4" width="9.6875" style="4" customWidth="1"/>
    <col min="5" max="5" width="7.8125" style="7" customWidth="1"/>
    <col min="6" max="6" width="7.8125" style="4" customWidth="1"/>
    <col min="7" max="7" width="9.625" style="5" customWidth="1"/>
    <col min="8" max="8" width="8.125" style="3" customWidth="1"/>
    <col min="9" max="9" width="8.1875" style="6" customWidth="1"/>
    <col min="10" max="16384" width="8.8125" style="2"/>
  </cols>
  <sheetData>
    <row r="1" spans="1:9" s="1" customFormat="1" ht="41.25" customHeight="1" thickBot="1">
      <c r="A1" s="51" t="s">
        <v>13</v>
      </c>
      <c r="B1" s="52"/>
      <c r="C1" s="52"/>
      <c r="D1" s="52"/>
      <c r="E1" s="52"/>
      <c r="F1" s="53"/>
      <c r="G1" s="28"/>
      <c r="H1" s="29"/>
      <c r="I1" s="30"/>
    </row>
    <row r="2" spans="1:9" s="1" customFormat="1" ht="28.5" customHeight="1" thickBot="1">
      <c r="C2" s="24"/>
      <c r="D2" s="25"/>
      <c r="E2" s="26"/>
      <c r="F2" s="27"/>
      <c r="G2" s="28"/>
      <c r="H2" s="29"/>
      <c r="I2" s="30"/>
    </row>
    <row r="3" spans="1:9" s="9" customFormat="1" ht="29.5" thickBot="1">
      <c r="A3" s="48" t="s">
        <v>14</v>
      </c>
      <c r="B3" s="49"/>
      <c r="C3" s="49"/>
      <c r="D3" s="49"/>
      <c r="E3" s="49"/>
      <c r="F3" s="50"/>
      <c r="G3" s="21"/>
      <c r="H3" s="21"/>
      <c r="I3" s="21"/>
    </row>
    <row r="4" spans="1:9" s="8" customFormat="1" ht="33" customHeight="1">
      <c r="A4" s="10" t="s">
        <v>0</v>
      </c>
      <c r="B4" s="12" t="s">
        <v>1</v>
      </c>
      <c r="C4" s="10" t="s">
        <v>6</v>
      </c>
      <c r="D4" s="12" t="s">
        <v>12</v>
      </c>
      <c r="E4" s="22" t="s">
        <v>2</v>
      </c>
      <c r="F4" s="39" t="s">
        <v>2</v>
      </c>
    </row>
    <row r="5" spans="1:9" s="8" customFormat="1" ht="33.5" customHeight="1" thickBot="1">
      <c r="A5" s="11"/>
      <c r="B5" s="13"/>
      <c r="C5" s="11"/>
      <c r="D5" s="13"/>
      <c r="E5" s="23" t="s">
        <v>3</v>
      </c>
      <c r="F5" s="40" t="s">
        <v>4</v>
      </c>
    </row>
    <row r="6" spans="1:9" s="9" customFormat="1" ht="23.5" thickBot="1">
      <c r="A6" s="41">
        <v>1</v>
      </c>
      <c r="B6" s="42" t="s">
        <v>10</v>
      </c>
      <c r="C6" s="31" t="s">
        <v>11</v>
      </c>
      <c r="D6" s="46">
        <v>50</v>
      </c>
      <c r="E6" s="47">
        <v>4205.6099999999997</v>
      </c>
      <c r="F6" s="32">
        <f>E6*1.07</f>
        <v>4500.0027</v>
      </c>
      <c r="G6" s="43"/>
      <c r="H6" s="8"/>
      <c r="I6" s="44"/>
    </row>
    <row r="7" spans="1:9" s="9" customFormat="1" ht="23">
      <c r="A7" s="33"/>
      <c r="B7" s="33"/>
      <c r="C7" s="33"/>
      <c r="D7" s="34"/>
      <c r="E7" s="35"/>
      <c r="F7" s="36"/>
      <c r="G7" s="37"/>
      <c r="H7" s="37"/>
      <c r="I7" s="38"/>
    </row>
    <row r="8" spans="1:9" s="9" customFormat="1" ht="23.5" thickBot="1">
      <c r="A8" s="33"/>
      <c r="B8" s="33"/>
      <c r="C8" s="33"/>
      <c r="D8" s="34"/>
      <c r="E8" s="35"/>
      <c r="F8" s="36"/>
      <c r="G8" s="37"/>
      <c r="H8" s="37"/>
      <c r="I8" s="38"/>
    </row>
    <row r="9" spans="1:9" s="9" customFormat="1" ht="29.5" thickBot="1">
      <c r="A9" s="48" t="s">
        <v>7</v>
      </c>
      <c r="B9" s="49"/>
      <c r="C9" s="49"/>
      <c r="D9" s="49"/>
      <c r="E9" s="49"/>
      <c r="F9" s="50"/>
      <c r="G9" s="21"/>
      <c r="H9" s="21"/>
      <c r="I9" s="21"/>
    </row>
    <row r="10" spans="1:9" s="8" customFormat="1" ht="33" customHeight="1">
      <c r="A10" s="10" t="s">
        <v>0</v>
      </c>
      <c r="B10" s="12" t="s">
        <v>1</v>
      </c>
      <c r="C10" s="10" t="s">
        <v>6</v>
      </c>
      <c r="D10" s="12" t="s">
        <v>5</v>
      </c>
      <c r="E10" s="22" t="s">
        <v>2</v>
      </c>
      <c r="F10" s="39" t="s">
        <v>2</v>
      </c>
    </row>
    <row r="11" spans="1:9" s="8" customFormat="1" ht="32.5" customHeight="1" thickBot="1">
      <c r="A11" s="11"/>
      <c r="B11" s="13"/>
      <c r="C11" s="11"/>
      <c r="D11" s="13"/>
      <c r="E11" s="23" t="s">
        <v>3</v>
      </c>
      <c r="F11" s="40" t="s">
        <v>4</v>
      </c>
    </row>
    <row r="12" spans="1:9" s="8" customFormat="1" ht="23.5" thickBot="1">
      <c r="A12" s="41">
        <v>1</v>
      </c>
      <c r="B12" s="42" t="s">
        <v>17</v>
      </c>
      <c r="C12" s="31" t="s">
        <v>18</v>
      </c>
      <c r="D12" s="45" t="s">
        <v>8</v>
      </c>
      <c r="E12" s="47">
        <v>3000</v>
      </c>
      <c r="F12" s="32">
        <f>E12*1.07</f>
        <v>3210</v>
      </c>
    </row>
    <row r="13" spans="1:9" s="8" customFormat="1" ht="23.5" thickBot="1">
      <c r="A13" s="41">
        <v>2</v>
      </c>
      <c r="B13" s="42" t="s">
        <v>19</v>
      </c>
      <c r="C13" s="31" t="s">
        <v>20</v>
      </c>
      <c r="D13" s="45" t="s">
        <v>16</v>
      </c>
      <c r="E13" s="47">
        <v>4000</v>
      </c>
      <c r="F13" s="32">
        <f>E13*1.07</f>
        <v>4280</v>
      </c>
    </row>
    <row r="14" spans="1:9" ht="23" customHeight="1"/>
    <row r="15" spans="1:9">
      <c r="B15" s="2" t="s">
        <v>9</v>
      </c>
    </row>
    <row r="17" spans="4:9">
      <c r="D17" s="4" t="s">
        <v>15</v>
      </c>
      <c r="E17" s="14"/>
      <c r="F17" s="14"/>
      <c r="G17" s="15"/>
      <c r="H17" s="1"/>
      <c r="I17" s="16"/>
    </row>
    <row r="18" spans="4:9">
      <c r="E18" s="14"/>
      <c r="F18" s="14"/>
      <c r="G18" s="15"/>
      <c r="H18" s="1"/>
      <c r="I18" s="16"/>
    </row>
    <row r="19" spans="4:9">
      <c r="D19" s="4" t="s">
        <v>21</v>
      </c>
      <c r="E19" s="17"/>
      <c r="F19" s="18"/>
      <c r="G19" s="19"/>
      <c r="H19" s="20"/>
      <c r="I19" s="19"/>
    </row>
  </sheetData>
  <mergeCells count="3">
    <mergeCell ref="A3:F3"/>
    <mergeCell ref="A9:F9"/>
    <mergeCell ref="A1:F1"/>
  </mergeCells>
  <pageMargins left="0.27559055118110237" right="0" top="0.74803149606299213" bottom="0" header="0.31496062992125984" footer="0.31496062992125984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DP-H10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Pornthip Leammukda</dc:creator>
  <cp:lastModifiedBy>Krittiya Boonyarattanagalin</cp:lastModifiedBy>
  <cp:lastPrinted>2024-03-01T01:46:45Z</cp:lastPrinted>
  <dcterms:created xsi:type="dcterms:W3CDTF">2002-06-21T09:02:34Z</dcterms:created>
  <dcterms:modified xsi:type="dcterms:W3CDTF">2024-03-12T02:22:43Z</dcterms:modified>
</cp:coreProperties>
</file>