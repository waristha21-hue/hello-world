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iko\Desktop\New folder\ปรับราคา2026\"/>
    </mc:Choice>
  </mc:AlternateContent>
  <xr:revisionPtr revIDLastSave="0" documentId="13_ncr:1_{A3F25294-3864-4262-8572-1C37C8B31632}" xr6:coauthVersionLast="47" xr6:coauthVersionMax="47" xr10:uidLastSave="{00000000-0000-0000-0000-000000000000}"/>
  <bookViews>
    <workbookView xWindow="-110" yWindow="-110" windowWidth="19420" windowHeight="10300" xr2:uid="{B7A87633-25D4-4EE0-8582-74DFD8833D56}"/>
  </bookViews>
  <sheets>
    <sheet name="RIQAS2026" sheetId="13" r:id="rId1"/>
  </sheets>
  <definedNames>
    <definedName name="_xlnm.Print_Titles" localSheetId="0">RIQAS2026!$1:$4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3" l="1"/>
  <c r="E10" i="13"/>
  <c r="E67" i="13"/>
  <c r="E91" i="13"/>
  <c r="E99" i="13"/>
  <c r="E108" i="13"/>
  <c r="E111" i="13"/>
  <c r="E112" i="13"/>
  <c r="E12" i="13"/>
  <c r="E13" i="13"/>
  <c r="E14" i="13"/>
  <c r="E15" i="13"/>
  <c r="E16" i="13"/>
  <c r="E8" i="13"/>
  <c r="E7" i="13"/>
  <c r="E106" i="13"/>
  <c r="E104" i="13"/>
  <c r="E102" i="13"/>
  <c r="E101" i="13"/>
  <c r="E97" i="13"/>
  <c r="E96" i="13"/>
  <c r="E95" i="13"/>
  <c r="E88" i="13"/>
  <c r="E87" i="13"/>
  <c r="E85" i="13"/>
  <c r="E83" i="13"/>
  <c r="E82" i="13"/>
  <c r="E80" i="13"/>
  <c r="E79" i="13"/>
  <c r="E78" i="13"/>
  <c r="E74" i="13"/>
  <c r="E73" i="13"/>
  <c r="E72" i="13"/>
  <c r="E71" i="13"/>
  <c r="E64" i="13"/>
  <c r="E61" i="13"/>
  <c r="E60" i="13"/>
  <c r="E59" i="13"/>
  <c r="E58" i="13"/>
  <c r="E57" i="13"/>
  <c r="E56" i="13"/>
  <c r="E55" i="13"/>
  <c r="E53" i="13"/>
  <c r="E51" i="13"/>
  <c r="E49" i="13"/>
  <c r="E48" i="13"/>
  <c r="E46" i="13"/>
  <c r="E44" i="13"/>
  <c r="E43" i="13"/>
  <c r="E42" i="13"/>
  <c r="E38" i="13"/>
  <c r="E36" i="13"/>
  <c r="E35" i="13"/>
  <c r="E33" i="13"/>
  <c r="E32" i="13"/>
  <c r="E31" i="13"/>
  <c r="E28" i="13"/>
  <c r="E26" i="13"/>
  <c r="E25" i="13"/>
  <c r="E24" i="13"/>
  <c r="E23" i="13"/>
  <c r="E22" i="13"/>
  <c r="E21" i="13"/>
  <c r="E20" i="13"/>
  <c r="E19" i="13"/>
  <c r="E18" i="13"/>
  <c r="E17" i="13"/>
</calcChain>
</file>

<file path=xl/sharedStrings.xml><?xml version="1.0" encoding="utf-8"?>
<sst xmlns="http://schemas.openxmlformats.org/spreadsheetml/2006/main" count="251" uniqueCount="187">
  <si>
    <t>IMMUNOASSAY SPECIALITY 1 PROGRAMME</t>
  </si>
  <si>
    <t>IMMUNOASSAY SPECIALITY 2 PROGRAMME</t>
  </si>
  <si>
    <t>RIQAS Blood Typing</t>
  </si>
  <si>
    <t>P/N</t>
  </si>
  <si>
    <t>DESCRIPTION</t>
  </si>
  <si>
    <t>PACK SIZE</t>
  </si>
  <si>
    <t xml:space="preserve">CYCLE STARTS IN JANUARY </t>
  </si>
  <si>
    <t>PACKAGE</t>
  </si>
  <si>
    <t>Package 1</t>
  </si>
  <si>
    <t>Package 2</t>
  </si>
  <si>
    <t>QUARTERLY PROGRAMME</t>
  </si>
  <si>
    <t xml:space="preserve">RDX-RQ9206 </t>
  </si>
  <si>
    <t>11  Parameters, 3 samples per quarterly distribution,  1 x 2 monthly cycles, 12 monthly subscription</t>
  </si>
  <si>
    <t>MONTHLY  PROGRAMMES</t>
  </si>
  <si>
    <t>RDX-RQ9128</t>
  </si>
  <si>
    <t>MONTHLY CHEMISTRY PROGRAMME (monthly)</t>
  </si>
  <si>
    <t>52 Parameters + 4 pilots ,samples every month, 1 x 12 monthly cycle, 12 months subscription, report every  month</t>
  </si>
  <si>
    <t>RDX-RQ9129</t>
  </si>
  <si>
    <t>HbA1C PORGRAMME</t>
  </si>
  <si>
    <t>2 Parameters,samples every month, 1 x 12 monthly cycle, 12 months subscription, report every  month</t>
  </si>
  <si>
    <t>RDX-RQ9130</t>
  </si>
  <si>
    <t>MONTHLY IMMUNOASSAY PROGRAMME (Monthly)</t>
  </si>
  <si>
    <t>49 Parameters + 2 pilots,  1 X 12 monthly cycle, 12 monthly subscription , report every month</t>
  </si>
  <si>
    <t>RDX-RQ9134</t>
  </si>
  <si>
    <t>BLOOD GAS PROGRAMME (10 analytes)</t>
  </si>
  <si>
    <t>11 Parameters, sample every month,1 x 12 monthly cycle , 12 monthly subscription, report every  month</t>
  </si>
  <si>
    <t>RDX-RQ9135/a</t>
  </si>
  <si>
    <t>COAGULATION PROGRAMME (monthly)(a PTT, PT, TT, Fibrinogen, Antithrombin III)</t>
  </si>
  <si>
    <t>5 Parameters, sample every month, 1x12 monthly cycle , 12 monthly subscription, report every  month</t>
  </si>
  <si>
    <t>RDX-RQ9135/b</t>
  </si>
  <si>
    <t>COAGULATION PROGRAMME (monthly) (Full 17 Parameters)</t>
  </si>
  <si>
    <t>16 Parameters + 1 pilot,sample every month1x12 monthly cycle , 12 monthly subscription, report every  month</t>
  </si>
  <si>
    <t>RDX-RQ9137</t>
  </si>
  <si>
    <t>MATERNAL SCREENING PROGRAMME (6 parameters)</t>
  </si>
  <si>
    <t>6  Parameters, sample every month, 1 x 12 monthly cycle  , 12 monthly subscription, report every  month</t>
  </si>
  <si>
    <t>RDX-RQ9139</t>
  </si>
  <si>
    <t>URINE TOXICOLOGY PROGRAMME (20 parameters)</t>
  </si>
  <si>
    <t>20  Parameters, sample every month, 1 x 12 monthly cycle  , 12 monthly subscription, report every  month</t>
  </si>
  <si>
    <t>RDX-RQ9140</t>
  </si>
  <si>
    <t>MONTHLY HEMATOLOGY PROGRAMME (Monthly)</t>
  </si>
  <si>
    <t>11 Parameters, every month, 4 X 3  monthly cycles, 12 monthly subscription</t>
  </si>
  <si>
    <t>RDX-RQ9141</t>
  </si>
  <si>
    <t>9 Parameters + 1 pilot, sample every month, 1 x 12 monthly cycle  , 12 monthly subscription, report every  month</t>
  </si>
  <si>
    <t>RDX-RQ9142</t>
  </si>
  <si>
    <t>5  Parameters, sample every month, 1 x 12 monthly cycle  , 12 monthly subscription, report every  month</t>
  </si>
  <si>
    <t>RDX-RQ9165</t>
  </si>
  <si>
    <t>BNP PROGRAMME</t>
  </si>
  <si>
    <t>1 Parameters,sample every month, 1 x 12 monthly cycle , 12 monthly subscription, report every  month</t>
  </si>
  <si>
    <t>RDX-RQ9177</t>
  </si>
  <si>
    <t>CO-OXYMETIC PROGRAMME</t>
  </si>
  <si>
    <t>7 Parameters, sample every month,1 x 12 monthly cycle , 12 monthly subscription, report every  month</t>
  </si>
  <si>
    <t>RDX-RQ9190</t>
  </si>
  <si>
    <t xml:space="preserve">MONTHLY CARDIAC PLUS PROGRAMME </t>
  </si>
  <si>
    <t>11 Parameters,,sample every month 1 x 12 monthly cycle , 12 monthly subscription, report every  month</t>
  </si>
  <si>
    <t>RDX-RQ9198</t>
  </si>
  <si>
    <t>AMH (Anti-Mullerian Hormone) PROGRAMME</t>
  </si>
  <si>
    <t>BI-MONTHLY  PROGRAMME</t>
  </si>
  <si>
    <t>RDX-RQ9138</t>
  </si>
  <si>
    <t>URINALYSIS PROGRAMME (14 parameters)</t>
  </si>
  <si>
    <t>14 Parameters, sample every 2 month, 1 x 6 samples , 12 monthly subscription, report every 2 months</t>
  </si>
  <si>
    <t>BI-WEEKLY  PROGRAMMES</t>
  </si>
  <si>
    <t>IMMUNOASSAY PROGRAMME</t>
  </si>
  <si>
    <t>RDX-RQ9125/a</t>
  </si>
  <si>
    <t>IMMUNOASSAY PROGRAMME (4 parameters from 49)</t>
  </si>
  <si>
    <t>4 Parameters + 2 pilots, every 2 weeks, 2 X 6 monthly cycles, 12 monthly subscription</t>
  </si>
  <si>
    <t>RDX-RQ9125/b</t>
  </si>
  <si>
    <t>IMMUNOASSAY PROGRAMME(13 parameters from 49)</t>
  </si>
  <si>
    <t>13 Parameters + 2 pilots, every 2 weeks, 2 X 6monthly cycles, 12 monthly subscription</t>
  </si>
  <si>
    <t>RDX-RQ9125/c</t>
  </si>
  <si>
    <t>IMMUNOASSAY PROGRAMME (49 parameters)</t>
  </si>
  <si>
    <t>49 Parameters + 2 pilots, every 2 weeks, 2 X 6 monthly cycles, 12 monthly subscription</t>
  </si>
  <si>
    <t>LIPID PROGRAMME</t>
  </si>
  <si>
    <t>RDX-RQ9126/a</t>
  </si>
  <si>
    <t>LIPID PROGRAMME (3 parameters)</t>
  </si>
  <si>
    <t>3 Parameters(choose from 7), sample every 2 weeks , 2 X 6 monthly cycles, 12 monthly subscription</t>
  </si>
  <si>
    <t>RDX-RQ9126/b</t>
  </si>
  <si>
    <t>LIPID PROGRAMME (7 parameters)</t>
  </si>
  <si>
    <t>7 Parameters,  sample every 2 weeks , 2 X 6 monthly cycles, 12 monthly subscription</t>
  </si>
  <si>
    <t>HUMAN URINE PROGRAMME</t>
  </si>
  <si>
    <t>RDX-RQ9115</t>
  </si>
  <si>
    <t>25 Parameters, Sample every 2 weeks, 2 X 6 monthly cycles, 12 monthly subscription</t>
  </si>
  <si>
    <t xml:space="preserve">CYCLE STARTS IN MARCH </t>
  </si>
  <si>
    <t>CHEMISTRY PROGRAMME</t>
  </si>
  <si>
    <t>RDX-RQ9112/a</t>
  </si>
  <si>
    <t>GENERAL CLINICAL CHEMISTRY PROGRAMME (10 parameters+ 4 pilots)</t>
  </si>
  <si>
    <t>10 Parameters+ 4 pilots, Sample every 2 weeks , 2 X 6 monthly cycles, 12 monthly subscription</t>
  </si>
  <si>
    <t>RDX-RQ9112/b</t>
  </si>
  <si>
    <t>GENERAL CLINICAL CHEMISTRY PROGRAMME (17 parameters+ 4 pilots)</t>
  </si>
  <si>
    <t xml:space="preserve">17 Parameters+ 4 pilots, Sample every 2 weeks , 2 X 6 monthly cycles, 12 monthly subscription </t>
  </si>
  <si>
    <t>RDX-RQ9112/c</t>
  </si>
  <si>
    <t>GENERAL CLINICAL CHEMISTRY PROGRAMME(52 parameters+ 4 pilots)</t>
  </si>
  <si>
    <t>52 Parameters+ 4 pilots, Sample every 2 weeks , 2 X 6 monthly cycles, 12 monthly subscription</t>
  </si>
  <si>
    <t>THERAPEUTIC DRUGS PROGRAMME</t>
  </si>
  <si>
    <t>RDX-RQ9111</t>
  </si>
  <si>
    <t>Therapeutic Drugs</t>
  </si>
  <si>
    <t>18 Parameters, Sample every 2 weeks , 2 X 6 monthly cycles, 12 monthly subscription, Weighed-in values</t>
  </si>
  <si>
    <t>CARDIAC PROGRAMME</t>
  </si>
  <si>
    <t>RDX-RQ9127/a</t>
  </si>
  <si>
    <t>CARDIAC PROGRAMME  (2 parameters)</t>
  </si>
  <si>
    <t>2 Parameters(choose from 7), sample every 2 weeks , 2 X 6 monthly cycles, 12 monthly subscription</t>
  </si>
  <si>
    <t>RDX-RQ9127/b</t>
  </si>
  <si>
    <t>CARDIAC PROGRAMME  (7 parameters)</t>
  </si>
  <si>
    <t>7 Parameters, sample every 2 weeks , 2 X 6 monthly cycles, 12 monthly subscription</t>
  </si>
  <si>
    <t>SPECIFIC PROTEIN PROGRAMME</t>
  </si>
  <si>
    <t>RDX-RQ9114</t>
  </si>
  <si>
    <t>SPECIFIC PROTEIN PROGRAMME (3ml)</t>
  </si>
  <si>
    <t>26 Parameters, samp,e every 2 weeks, 2 X 6 monthly cycles, 12 monthly subscription (3ml)</t>
  </si>
  <si>
    <t>HEMATOLOGY PROGRAMME</t>
  </si>
  <si>
    <t>RDX-RQ9118</t>
  </si>
  <si>
    <t>HEMATOLOGY PROGRAMME (Bi-weekly)</t>
  </si>
  <si>
    <t>11 Parameters, sample every 2 weeks, 2 x 6 monthly cycles, 12 monthly subscription</t>
  </si>
  <si>
    <t>RDX-RQ9159</t>
  </si>
  <si>
    <t>IMMUNOSUPPRESSANT  PROGRAMME</t>
  </si>
  <si>
    <t>4  Parameters, sample every month, 1 x 12 monthly cycle  , 12 monthly subscription, report every  month</t>
  </si>
  <si>
    <t>RDX-RQ9168</t>
  </si>
  <si>
    <t>CEREBROSPINAL FLUID  PROGRAMME</t>
  </si>
  <si>
    <t>7 Parameters, sample every month, 1 x 12 monthly cycle  , 12 monthly subscription, report every  month</t>
  </si>
  <si>
    <t>RDX-RQ9173</t>
  </si>
  <si>
    <t>SWEAT TESTING PROGRAMME</t>
  </si>
  <si>
    <t>2  Parameters, sample every month, 1 x 12 monthly cycle  , 12 monthly subscription, report every  month</t>
  </si>
  <si>
    <t>RDX-RQ9174</t>
  </si>
  <si>
    <t>ANTI-TSH RECEPTOR PROGRAMME</t>
  </si>
  <si>
    <t>1  Parameter, sample every month, 1 x 12 monthly cycle  , 12 monthly subscription, report every  month</t>
  </si>
  <si>
    <t>RDX-RQ9175</t>
  </si>
  <si>
    <t>CYFRA 21-1 PROGRAMME</t>
  </si>
  <si>
    <t>RDX-RQ9186</t>
  </si>
  <si>
    <t>MONTHLY CARDIAC PROGRAMME</t>
  </si>
  <si>
    <t>7  Parameters, sample every month, 1 x 12 monthly cycle, 12 monthly subscription, report every  month</t>
  </si>
  <si>
    <t>RDX-RQ9187</t>
  </si>
  <si>
    <t>MONTHLY SPECIFIC PROTEIN PROGRAMME (1ml)</t>
  </si>
  <si>
    <t>26  Parameters, sample every month, 1 x 12 monthly cycle , 12 monthly subscription, report every  month</t>
  </si>
  <si>
    <t>ESR PROGRAMME</t>
  </si>
  <si>
    <t>RDX-RQ9163</t>
  </si>
  <si>
    <t>ESR (every 3 months or quarterly)</t>
  </si>
  <si>
    <t>1 Parameters, 2 samples per quarterly distribution,  1 x 2 monthly cycles, 12 monthly subscription</t>
  </si>
  <si>
    <t xml:space="preserve">RDX-RQ9188 </t>
  </si>
  <si>
    <t>RIQAS Point of Care Glucose and Ketones (Quarterly) (400ul)</t>
  </si>
  <si>
    <t xml:space="preserve">CYCLE STARTS IN JUNE </t>
  </si>
  <si>
    <t>SEROLOGY PROGRAMME</t>
  </si>
  <si>
    <t>RDX-RQ9151</t>
  </si>
  <si>
    <t>HIV/HEP (5X2 ml) Quantitative and Qualitative results (Monthly)</t>
  </si>
  <si>
    <t>10 Parameters + 7 pilots, 1 x 12 monthly cycle , 12 monthly subscription, Quantitative and Qualitative results</t>
  </si>
  <si>
    <t>RDX-RQ9152</t>
  </si>
  <si>
    <t>TORCH (5X1ml) Quantitative and Qualitative results (Monthly)</t>
  </si>
  <si>
    <t>12 Parameters + 3 pilots, 1 x 12 monthly cycle , 12 monthly subscription, Quantitative and Qualitative results</t>
  </si>
  <si>
    <t>RDX-RQ9153</t>
  </si>
  <si>
    <t>EBV (3x1 ml)  Quantitative and Qualitative results (Monthly)</t>
  </si>
  <si>
    <t>3 Parameters, 1 x 12 monthly cycle , 12 monthly subscription, Quantitative and Qualitative results</t>
  </si>
  <si>
    <t>RDX-RQ9154</t>
  </si>
  <si>
    <t>Syphilis (3x1 ml) Quantitative and Qualitative results(Monthly)</t>
  </si>
  <si>
    <t>1 Parameters , 1 x 12 monthly cycle , 12 monthly subscription, Quantitative and Qualitative results</t>
  </si>
  <si>
    <t xml:space="preserve">CYCLE STARTS IN JULY </t>
  </si>
  <si>
    <t>RDX-RQ9185</t>
  </si>
  <si>
    <t xml:space="preserve">RIQAS MONTHLY HUMAN URINE </t>
  </si>
  <si>
    <t>25 Parameters,samples every month, 1 x 12 monthly cycle, 12 monthly subscription</t>
  </si>
  <si>
    <t>RDX-RQ9191</t>
  </si>
  <si>
    <t>RIQAS Neonatal Bilirubin Programme</t>
  </si>
  <si>
    <t>2 Parameters,sample every month, 1 x 12 monthly cycle, 12 monthly subscription</t>
  </si>
  <si>
    <t>BI-MONTHLY  PROGRAMMES</t>
  </si>
  <si>
    <t>RDX-RQ9197</t>
  </si>
  <si>
    <t>RIQAS Microbiology Programme</t>
  </si>
  <si>
    <t>Bi-monthly, 3 samples x 2 distributions per year</t>
  </si>
  <si>
    <t>CYCLE STARTS IN SEPTEMBER</t>
  </si>
  <si>
    <t>RDX-RQ9164</t>
  </si>
  <si>
    <t>Ammonia/Ethanol Programme</t>
  </si>
  <si>
    <t>2  Parameters, sample every month, 1 x 12 monthly cycle  , 12 monthly subscription, report every month</t>
  </si>
  <si>
    <t>CYCLE STARTS IN OCTOBER</t>
  </si>
  <si>
    <t>RDX-RQ9194</t>
  </si>
  <si>
    <t>Serum Indices Programme</t>
  </si>
  <si>
    <t>3 Parameters for Indices and  25 routine chemistry parameters, report bi-monthly (3 samples bi-monthly)</t>
  </si>
  <si>
    <t>RDX-RQ9195</t>
  </si>
  <si>
    <t>Cytokines Programme</t>
  </si>
  <si>
    <t>12 Parameters, samples every month, 1 x 12 monthly cycle, 12 months subscription</t>
  </si>
  <si>
    <t xml:space="preserve"> RANDOX RIQAS PRICE LIST  2026</t>
  </si>
  <si>
    <t>4 Parameters,samples every month, 1 x 12 monthly cycle, 12 monthly subscription</t>
  </si>
  <si>
    <t xml:space="preserve">2  Parameters, 1 samples per quarterly distribution,  1 x 2 monthly cycles, 12 monthly subscription ; 1 โปรแกรมลงได้ 2 เครื่อง </t>
  </si>
  <si>
    <t>PRICE LIST</t>
  </si>
  <si>
    <t>(w/o VAT)</t>
  </si>
  <si>
    <t>(w/VAT)</t>
  </si>
  <si>
    <r>
      <rPr>
        <b/>
        <sz val="7"/>
        <rFont val="Aptos"/>
        <family val="2"/>
      </rPr>
      <t>Full Analytes, Monthly Program</t>
    </r>
    <r>
      <rPr>
        <b/>
        <sz val="8"/>
        <rFont val="Aptos"/>
        <family val="2"/>
      </rPr>
      <t xml:space="preserve"> </t>
    </r>
    <r>
      <rPr>
        <b/>
        <sz val="8"/>
        <rFont val="BrowalliaUPC"/>
        <family val="2"/>
      </rPr>
      <t>(RQ9128,RQ9130,RQ9135/B,RQ9140)</t>
    </r>
  </si>
  <si>
    <r>
      <t xml:space="preserve">Chem+Immuno+Hemato+coag (monthly) </t>
    </r>
    <r>
      <rPr>
        <b/>
        <sz val="8"/>
        <rFont val="BrowalliaUPC"/>
        <family val="2"/>
      </rPr>
      <t>(4โปรแกรม)</t>
    </r>
  </si>
  <si>
    <r>
      <t>Chem+Immuno+Hemato+coag (monthly)</t>
    </r>
    <r>
      <rPr>
        <b/>
        <sz val="8"/>
        <rFont val="BrowalliaUPC"/>
        <family val="2"/>
      </rPr>
      <t xml:space="preserve"> (เลือก 3 ใน 4)</t>
    </r>
  </si>
  <si>
    <r>
      <rPr>
        <b/>
        <sz val="7"/>
        <rFont val="Aptos"/>
        <family val="2"/>
      </rPr>
      <t>Full Analytes, Monthly Program</t>
    </r>
    <r>
      <rPr>
        <b/>
        <sz val="8"/>
        <rFont val="Aptos"/>
        <family val="2"/>
      </rPr>
      <t xml:space="preserve"> </t>
    </r>
    <r>
      <rPr>
        <b/>
        <sz val="8"/>
        <rFont val="BrowalliaUPC"/>
        <family val="2"/>
      </rPr>
      <t>(3 โปรแกรม)</t>
    </r>
  </si>
  <si>
    <t>CYCLE STARTS IN APRIL</t>
  </si>
  <si>
    <t>RDX-RQ9207</t>
  </si>
  <si>
    <t>RIQAS Pre-eclampsia Programme</t>
  </si>
  <si>
    <t>as of 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</si>
</sst>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  <charset val="222"/>
    </font>
    <font>
      <sz val="11"/>
      <color theme="1"/>
      <name val="Tahoma"/>
      <family val="2"/>
      <scheme val="minor"/>
    </font>
    <font>
      <b/>
      <sz val="9"/>
      <color rgb="FFFF0000"/>
      <name val="Aptos"/>
      <family val="2"/>
    </font>
    <font>
      <b/>
      <sz val="7"/>
      <color theme="1"/>
      <name val="Aptos"/>
      <family val="2"/>
    </font>
    <font>
      <sz val="7"/>
      <name val="Aptos"/>
      <family val="2"/>
    </font>
    <font>
      <sz val="10"/>
      <name val="Verdana"/>
      <family val="2"/>
    </font>
    <font>
      <sz val="8"/>
      <name val="Aptos"/>
      <family val="2"/>
    </font>
    <font>
      <sz val="8"/>
      <name val="Aptos"/>
      <family val="2"/>
      <charset val="222"/>
    </font>
    <font>
      <sz val="8"/>
      <color theme="1"/>
      <name val="Aptos"/>
      <family val="2"/>
    </font>
    <font>
      <b/>
      <sz val="7"/>
      <name val="Aptos"/>
      <family val="2"/>
    </font>
    <font>
      <sz val="7"/>
      <color theme="1"/>
      <name val="Aptos"/>
      <family val="2"/>
    </font>
    <font>
      <b/>
      <i/>
      <sz val="8"/>
      <name val="Aptos"/>
      <family val="2"/>
    </font>
    <font>
      <b/>
      <sz val="8"/>
      <name val="Aptos"/>
      <family val="2"/>
    </font>
    <font>
      <b/>
      <sz val="8"/>
      <color theme="1"/>
      <name val="Aptos"/>
      <family val="2"/>
    </font>
    <font>
      <b/>
      <sz val="8"/>
      <color theme="8" tint="0.79998168889431442"/>
      <name val="Aptos"/>
      <family val="2"/>
    </font>
    <font>
      <b/>
      <sz val="8"/>
      <name val="BrowalliaUPC"/>
      <family val="2"/>
    </font>
    <font>
      <b/>
      <sz val="12"/>
      <name val="Aptos"/>
      <family val="2"/>
    </font>
    <font>
      <b/>
      <sz val="10"/>
      <color rgb="FFFF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5" fillId="0" borderId="0"/>
  </cellStyleXfs>
  <cellXfs count="83">
    <xf numFmtId="0" fontId="0" fillId="0" borderId="0" xfId="0"/>
    <xf numFmtId="0" fontId="10" fillId="8" borderId="10" xfId="0" applyFont="1" applyFill="1" applyBorder="1" applyAlignment="1">
      <alignment horizontal="center" vertical="center"/>
    </xf>
    <xf numFmtId="4" fontId="11" fillId="0" borderId="8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10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vertical="center"/>
    </xf>
    <xf numFmtId="4" fontId="12" fillId="6" borderId="6" xfId="0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" fontId="12" fillId="3" borderId="1" xfId="0" applyNumberFormat="1" applyFont="1" applyFill="1" applyBorder="1" applyAlignment="1">
      <alignment vertical="center"/>
    </xf>
    <xf numFmtId="4" fontId="12" fillId="0" borderId="1" xfId="0" applyNumberFormat="1" applyFont="1" applyBorder="1" applyAlignment="1">
      <alignment vertical="center"/>
    </xf>
    <xf numFmtId="0" fontId="12" fillId="7" borderId="5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vertical="center"/>
    </xf>
    <xf numFmtId="0" fontId="6" fillId="7" borderId="10" xfId="0" applyFont="1" applyFill="1" applyBorder="1" applyAlignment="1">
      <alignment horizontal="center" vertical="center"/>
    </xf>
    <xf numFmtId="4" fontId="12" fillId="7" borderId="10" xfId="0" applyNumberFormat="1" applyFont="1" applyFill="1" applyBorder="1" applyAlignment="1">
      <alignment vertical="center"/>
    </xf>
    <xf numFmtId="4" fontId="12" fillId="7" borderId="6" xfId="0" applyNumberFormat="1" applyFont="1" applyFill="1" applyBorder="1" applyAlignment="1">
      <alignment vertical="center"/>
    </xf>
    <xf numFmtId="0" fontId="12" fillId="5" borderId="5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4" fontId="12" fillId="5" borderId="6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 wrapText="1" shrinkToFi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shrinkToFit="1"/>
    </xf>
    <xf numFmtId="0" fontId="12" fillId="0" borderId="10" xfId="0" applyFont="1" applyBorder="1" applyAlignment="1">
      <alignment vertical="center"/>
    </xf>
    <xf numFmtId="0" fontId="13" fillId="8" borderId="5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horizontal="center" vertical="center"/>
    </xf>
    <xf numFmtId="4" fontId="13" fillId="8" borderId="6" xfId="0" applyNumberFormat="1" applyFont="1" applyFill="1" applyBorder="1" applyAlignment="1">
      <alignment vertical="center"/>
    </xf>
    <xf numFmtId="0" fontId="12" fillId="4" borderId="5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4" fontId="12" fillId="4" borderId="6" xfId="0" applyNumberFormat="1" applyFont="1" applyFill="1" applyBorder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 wrapText="1"/>
    </xf>
    <xf numFmtId="4" fontId="12" fillId="2" borderId="6" xfId="0" applyNumberFormat="1" applyFont="1" applyFill="1" applyBorder="1" applyAlignment="1">
      <alignment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4" fontId="14" fillId="2" borderId="6" xfId="0" applyNumberFormat="1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2" fontId="13" fillId="3" borderId="1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4" fontId="13" fillId="3" borderId="1" xfId="0" applyNumberFormat="1" applyFont="1" applyFill="1" applyBorder="1" applyAlignment="1">
      <alignment vertical="center"/>
    </xf>
    <xf numFmtId="2" fontId="13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12" fillId="8" borderId="5" xfId="0" applyFont="1" applyFill="1" applyBorder="1" applyAlignment="1">
      <alignment horizontal="left" vertical="center"/>
    </xf>
    <xf numFmtId="0" fontId="6" fillId="8" borderId="10" xfId="0" applyFont="1" applyFill="1" applyBorder="1" applyAlignment="1">
      <alignment vertical="center"/>
    </xf>
    <xf numFmtId="0" fontId="6" fillId="8" borderId="10" xfId="0" applyFont="1" applyFill="1" applyBorder="1" applyAlignment="1">
      <alignment horizontal="center" vertical="center"/>
    </xf>
    <xf numFmtId="4" fontId="12" fillId="8" borderId="6" xfId="0" applyNumberFormat="1" applyFont="1" applyFill="1" applyBorder="1" applyAlignment="1">
      <alignment vertical="center"/>
    </xf>
    <xf numFmtId="4" fontId="12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 shrinkToFi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2" fontId="17" fillId="3" borderId="5" xfId="0" applyNumberFormat="1" applyFont="1" applyFill="1" applyBorder="1" applyAlignment="1">
      <alignment horizontal="center" vertical="center"/>
    </xf>
    <xf numFmtId="2" fontId="17" fillId="3" borderId="10" xfId="0" applyNumberFormat="1" applyFont="1" applyFill="1" applyBorder="1" applyAlignment="1">
      <alignment horizontal="center" vertical="center"/>
    </xf>
    <xf numFmtId="2" fontId="17" fillId="3" borderId="6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2" fontId="17" fillId="3" borderId="11" xfId="0" applyNumberFormat="1" applyFont="1" applyFill="1" applyBorder="1" applyAlignment="1">
      <alignment horizontal="center" vertical="center"/>
    </xf>
    <xf numFmtId="2" fontId="17" fillId="3" borderId="12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714BB61C-1A9A-4EAC-B252-61CFE2C1C910}"/>
    <cellStyle name="Normal 4" xfId="2" xr:uid="{128758D6-1790-4B57-B6C0-34CA3B1FD518}"/>
    <cellStyle name="Normal 4 2" xfId="1" xr:uid="{81C1B40A-C476-433F-8936-6A6954E9CA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B1F9-4386-4D7B-8EC6-767DC361C13C}">
  <dimension ref="A1:E112"/>
  <sheetViews>
    <sheetView tabSelected="1" workbookViewId="0">
      <selection activeCell="G7" sqref="G7"/>
    </sheetView>
  </sheetViews>
  <sheetFormatPr defaultColWidth="9.58203125" defaultRowHeight="10.5" x14ac:dyDescent="0.45"/>
  <cols>
    <col min="1" max="1" width="11.25" style="3" customWidth="1"/>
    <col min="2" max="2" width="31.08203125" style="4" customWidth="1"/>
    <col min="3" max="3" width="34.25" style="5" customWidth="1"/>
    <col min="4" max="5" width="7.83203125" style="60" customWidth="1"/>
    <col min="6" max="16384" width="9.58203125" style="4"/>
  </cols>
  <sheetData>
    <row r="1" spans="1:5" ht="17.399999999999999" customHeight="1" thickBot="1" x14ac:dyDescent="0.5">
      <c r="D1" s="2" t="s">
        <v>186</v>
      </c>
      <c r="E1" s="4"/>
    </row>
    <row r="2" spans="1:5" ht="27.4" customHeight="1" thickBot="1" x14ac:dyDescent="0.5">
      <c r="A2" s="74" t="s">
        <v>173</v>
      </c>
      <c r="B2" s="75"/>
      <c r="C2" s="75"/>
      <c r="D2" s="75"/>
      <c r="E2" s="76"/>
    </row>
    <row r="3" spans="1:5" ht="12" customHeight="1" x14ac:dyDescent="0.45">
      <c r="A3" s="72" t="s">
        <v>3</v>
      </c>
      <c r="B3" s="72" t="s">
        <v>4</v>
      </c>
      <c r="C3" s="72" t="s">
        <v>5</v>
      </c>
      <c r="D3" s="66" t="s">
        <v>176</v>
      </c>
      <c r="E3" s="66" t="s">
        <v>176</v>
      </c>
    </row>
    <row r="4" spans="1:5" s="7" customFormat="1" ht="12" customHeight="1" x14ac:dyDescent="0.45">
      <c r="A4" s="73"/>
      <c r="B4" s="73"/>
      <c r="C4" s="73"/>
      <c r="D4" s="6" t="s">
        <v>177</v>
      </c>
      <c r="E4" s="6" t="s">
        <v>178</v>
      </c>
    </row>
    <row r="5" spans="1:5" ht="20" customHeight="1" x14ac:dyDescent="0.45">
      <c r="A5" s="69" t="s">
        <v>6</v>
      </c>
      <c r="B5" s="70"/>
      <c r="C5" s="70"/>
      <c r="D5" s="77"/>
      <c r="E5" s="78"/>
    </row>
    <row r="6" spans="1:5" ht="15.5" customHeight="1" x14ac:dyDescent="0.45">
      <c r="A6" s="8" t="s">
        <v>7</v>
      </c>
      <c r="B6" s="9"/>
      <c r="C6" s="10"/>
      <c r="D6" s="11"/>
      <c r="E6" s="12"/>
    </row>
    <row r="7" spans="1:5" ht="15" customHeight="1" x14ac:dyDescent="0.45">
      <c r="A7" s="13" t="s">
        <v>8</v>
      </c>
      <c r="B7" s="14" t="s">
        <v>180</v>
      </c>
      <c r="C7" s="15" t="s">
        <v>179</v>
      </c>
      <c r="D7" s="16">
        <v>105000</v>
      </c>
      <c r="E7" s="17">
        <f>D7*1.07</f>
        <v>112350</v>
      </c>
    </row>
    <row r="8" spans="1:5" ht="15" customHeight="1" x14ac:dyDescent="0.45">
      <c r="A8" s="13" t="s">
        <v>9</v>
      </c>
      <c r="B8" s="14" t="s">
        <v>181</v>
      </c>
      <c r="C8" s="15" t="s">
        <v>182</v>
      </c>
      <c r="D8" s="16">
        <v>94000</v>
      </c>
      <c r="E8" s="17">
        <f>D8*1.07</f>
        <v>100580</v>
      </c>
    </row>
    <row r="9" spans="1:5" s="7" customFormat="1" ht="15.65" customHeight="1" x14ac:dyDescent="0.45">
      <c r="A9" s="18" t="s">
        <v>10</v>
      </c>
      <c r="B9" s="19"/>
      <c r="C9" s="20"/>
      <c r="D9" s="21"/>
      <c r="E9" s="22"/>
    </row>
    <row r="10" spans="1:5" ht="17" customHeight="1" x14ac:dyDescent="0.45">
      <c r="A10" s="13" t="s">
        <v>11</v>
      </c>
      <c r="B10" s="14" t="s">
        <v>2</v>
      </c>
      <c r="C10" s="61" t="s">
        <v>12</v>
      </c>
      <c r="D10" s="17">
        <v>45000</v>
      </c>
      <c r="E10" s="17">
        <f>D10*1.07</f>
        <v>48150</v>
      </c>
    </row>
    <row r="11" spans="1:5" ht="15.65" customHeight="1" x14ac:dyDescent="0.45">
      <c r="A11" s="23" t="s">
        <v>13</v>
      </c>
      <c r="B11" s="24"/>
      <c r="C11" s="62"/>
      <c r="D11" s="25"/>
      <c r="E11" s="26"/>
    </row>
    <row r="12" spans="1:5" ht="18" customHeight="1" x14ac:dyDescent="0.45">
      <c r="A12" s="13" t="s">
        <v>14</v>
      </c>
      <c r="B12" s="14" t="s">
        <v>15</v>
      </c>
      <c r="C12" s="61" t="s">
        <v>16</v>
      </c>
      <c r="D12" s="17">
        <v>22900</v>
      </c>
      <c r="E12" s="17">
        <f>D12*1.07</f>
        <v>24503</v>
      </c>
    </row>
    <row r="13" spans="1:5" s="7" customFormat="1" ht="18" customHeight="1" x14ac:dyDescent="0.45">
      <c r="A13" s="13" t="s">
        <v>17</v>
      </c>
      <c r="B13" s="27" t="s">
        <v>18</v>
      </c>
      <c r="C13" s="61" t="s">
        <v>19</v>
      </c>
      <c r="D13" s="17">
        <v>20800</v>
      </c>
      <c r="E13" s="17">
        <f>D13*1.07</f>
        <v>22256</v>
      </c>
    </row>
    <row r="14" spans="1:5" s="7" customFormat="1" ht="18" customHeight="1" x14ac:dyDescent="0.45">
      <c r="A14" s="13" t="s">
        <v>20</v>
      </c>
      <c r="B14" s="14" t="s">
        <v>21</v>
      </c>
      <c r="C14" s="61" t="s">
        <v>22</v>
      </c>
      <c r="D14" s="17">
        <v>32900</v>
      </c>
      <c r="E14" s="17">
        <f t="shared" ref="E14:E25" si="0">D14*1.07</f>
        <v>35203</v>
      </c>
    </row>
    <row r="15" spans="1:5" s="7" customFormat="1" ht="18" customHeight="1" x14ac:dyDescent="0.45">
      <c r="A15" s="13" t="s">
        <v>23</v>
      </c>
      <c r="B15" s="14" t="s">
        <v>24</v>
      </c>
      <c r="C15" s="61" t="s">
        <v>25</v>
      </c>
      <c r="D15" s="17">
        <v>26000</v>
      </c>
      <c r="E15" s="17">
        <f t="shared" si="0"/>
        <v>27820</v>
      </c>
    </row>
    <row r="16" spans="1:5" s="7" customFormat="1" ht="21.5" customHeight="1" x14ac:dyDescent="0.45">
      <c r="A16" s="13" t="s">
        <v>26</v>
      </c>
      <c r="B16" s="28" t="s">
        <v>27</v>
      </c>
      <c r="C16" s="61" t="s">
        <v>28</v>
      </c>
      <c r="D16" s="17">
        <v>27100</v>
      </c>
      <c r="E16" s="17">
        <f t="shared" si="0"/>
        <v>28997</v>
      </c>
    </row>
    <row r="17" spans="1:5" s="7" customFormat="1" ht="18" customHeight="1" x14ac:dyDescent="0.45">
      <c r="A17" s="29" t="s">
        <v>29</v>
      </c>
      <c r="B17" s="30" t="s">
        <v>30</v>
      </c>
      <c r="C17" s="61" t="s">
        <v>31</v>
      </c>
      <c r="D17" s="17">
        <v>36000</v>
      </c>
      <c r="E17" s="17">
        <f t="shared" si="0"/>
        <v>38520</v>
      </c>
    </row>
    <row r="18" spans="1:5" s="7" customFormat="1" ht="18" customHeight="1" x14ac:dyDescent="0.45">
      <c r="A18" s="13" t="s">
        <v>32</v>
      </c>
      <c r="B18" s="14" t="s">
        <v>33</v>
      </c>
      <c r="C18" s="61" t="s">
        <v>34</v>
      </c>
      <c r="D18" s="17">
        <v>29800</v>
      </c>
      <c r="E18" s="17">
        <f t="shared" si="0"/>
        <v>31886.000000000004</v>
      </c>
    </row>
    <row r="19" spans="1:5" s="7" customFormat="1" ht="18" customHeight="1" x14ac:dyDescent="0.45">
      <c r="A19" s="13" t="s">
        <v>35</v>
      </c>
      <c r="B19" s="14" t="s">
        <v>36</v>
      </c>
      <c r="C19" s="61" t="s">
        <v>37</v>
      </c>
      <c r="D19" s="17">
        <v>33800</v>
      </c>
      <c r="E19" s="17">
        <f t="shared" si="0"/>
        <v>36166</v>
      </c>
    </row>
    <row r="20" spans="1:5" s="7" customFormat="1" ht="18" customHeight="1" x14ac:dyDescent="0.45">
      <c r="A20" s="29" t="s">
        <v>38</v>
      </c>
      <c r="B20" s="29" t="s">
        <v>39</v>
      </c>
      <c r="C20" s="61" t="s">
        <v>40</v>
      </c>
      <c r="D20" s="17">
        <v>37500</v>
      </c>
      <c r="E20" s="17">
        <f t="shared" si="0"/>
        <v>40125</v>
      </c>
    </row>
    <row r="21" spans="1:5" s="7" customFormat="1" ht="18" customHeight="1" x14ac:dyDescent="0.45">
      <c r="A21" s="13" t="s">
        <v>41</v>
      </c>
      <c r="B21" s="14" t="s">
        <v>0</v>
      </c>
      <c r="C21" s="61" t="s">
        <v>42</v>
      </c>
      <c r="D21" s="17">
        <v>26000</v>
      </c>
      <c r="E21" s="17">
        <f t="shared" si="0"/>
        <v>27820</v>
      </c>
    </row>
    <row r="22" spans="1:5" s="7" customFormat="1" ht="18" customHeight="1" x14ac:dyDescent="0.45">
      <c r="A22" s="13" t="s">
        <v>43</v>
      </c>
      <c r="B22" s="14" t="s">
        <v>1</v>
      </c>
      <c r="C22" s="61" t="s">
        <v>44</v>
      </c>
      <c r="D22" s="17">
        <v>26000</v>
      </c>
      <c r="E22" s="17">
        <f t="shared" si="0"/>
        <v>27820</v>
      </c>
    </row>
    <row r="23" spans="1:5" s="7" customFormat="1" ht="18" customHeight="1" x14ac:dyDescent="0.45">
      <c r="A23" s="13" t="s">
        <v>45</v>
      </c>
      <c r="B23" s="14" t="s">
        <v>46</v>
      </c>
      <c r="C23" s="61" t="s">
        <v>47</v>
      </c>
      <c r="D23" s="17">
        <v>28800</v>
      </c>
      <c r="E23" s="17">
        <f t="shared" si="0"/>
        <v>30816</v>
      </c>
    </row>
    <row r="24" spans="1:5" s="7" customFormat="1" ht="18" customHeight="1" x14ac:dyDescent="0.45">
      <c r="A24" s="13" t="s">
        <v>48</v>
      </c>
      <c r="B24" s="31" t="s">
        <v>49</v>
      </c>
      <c r="C24" s="61" t="s">
        <v>50</v>
      </c>
      <c r="D24" s="17">
        <v>38800</v>
      </c>
      <c r="E24" s="17">
        <f t="shared" si="0"/>
        <v>41516</v>
      </c>
    </row>
    <row r="25" spans="1:5" s="7" customFormat="1" ht="18" customHeight="1" x14ac:dyDescent="0.45">
      <c r="A25" s="13" t="s">
        <v>51</v>
      </c>
      <c r="B25" s="14" t="s">
        <v>52</v>
      </c>
      <c r="C25" s="61" t="s">
        <v>53</v>
      </c>
      <c r="D25" s="17">
        <v>49600</v>
      </c>
      <c r="E25" s="17">
        <f t="shared" si="0"/>
        <v>53072</v>
      </c>
    </row>
    <row r="26" spans="1:5" s="7" customFormat="1" ht="18" customHeight="1" x14ac:dyDescent="0.45">
      <c r="A26" s="13" t="s">
        <v>54</v>
      </c>
      <c r="B26" s="14" t="s">
        <v>55</v>
      </c>
      <c r="C26" s="61" t="s">
        <v>47</v>
      </c>
      <c r="D26" s="17">
        <v>29800</v>
      </c>
      <c r="E26" s="17">
        <f>D26*1.07</f>
        <v>31886.000000000004</v>
      </c>
    </row>
    <row r="27" spans="1:5" ht="15.65" customHeight="1" x14ac:dyDescent="0.45">
      <c r="A27" s="32" t="s">
        <v>56</v>
      </c>
      <c r="B27" s="33"/>
      <c r="C27" s="1"/>
      <c r="D27" s="34"/>
      <c r="E27" s="35"/>
    </row>
    <row r="28" spans="1:5" s="7" customFormat="1" ht="18" customHeight="1" x14ac:dyDescent="0.45">
      <c r="A28" s="13" t="s">
        <v>57</v>
      </c>
      <c r="B28" s="14" t="s">
        <v>58</v>
      </c>
      <c r="C28" s="61" t="s">
        <v>59</v>
      </c>
      <c r="D28" s="17">
        <v>28000</v>
      </c>
      <c r="E28" s="17">
        <f>D28*1.07</f>
        <v>29960</v>
      </c>
    </row>
    <row r="29" spans="1:5" s="7" customFormat="1" ht="15.65" customHeight="1" x14ac:dyDescent="0.45">
      <c r="A29" s="36" t="s">
        <v>60</v>
      </c>
      <c r="B29" s="37"/>
      <c r="C29" s="63"/>
      <c r="D29" s="38"/>
      <c r="E29" s="39"/>
    </row>
    <row r="30" spans="1:5" s="7" customFormat="1" ht="15.65" customHeight="1" x14ac:dyDescent="0.45">
      <c r="A30" s="40" t="s">
        <v>61</v>
      </c>
      <c r="B30" s="41"/>
      <c r="C30" s="64"/>
      <c r="D30" s="42"/>
      <c r="E30" s="43"/>
    </row>
    <row r="31" spans="1:5" s="7" customFormat="1" ht="18" customHeight="1" x14ac:dyDescent="0.45">
      <c r="A31" s="13" t="s">
        <v>62</v>
      </c>
      <c r="B31" s="30" t="s">
        <v>63</v>
      </c>
      <c r="C31" s="61" t="s">
        <v>64</v>
      </c>
      <c r="D31" s="17">
        <v>48000</v>
      </c>
      <c r="E31" s="17">
        <f>D31*1.07</f>
        <v>51360</v>
      </c>
    </row>
    <row r="32" spans="1:5" s="7" customFormat="1" ht="18" customHeight="1" x14ac:dyDescent="0.45">
      <c r="A32" s="13" t="s">
        <v>65</v>
      </c>
      <c r="B32" s="30" t="s">
        <v>66</v>
      </c>
      <c r="C32" s="61" t="s">
        <v>67</v>
      </c>
      <c r="D32" s="17">
        <v>52800</v>
      </c>
      <c r="E32" s="17">
        <f>D32*1.07</f>
        <v>56496</v>
      </c>
    </row>
    <row r="33" spans="1:5" s="7" customFormat="1" ht="18" customHeight="1" x14ac:dyDescent="0.45">
      <c r="A33" s="13" t="s">
        <v>68</v>
      </c>
      <c r="B33" s="30" t="s">
        <v>69</v>
      </c>
      <c r="C33" s="61" t="s">
        <v>70</v>
      </c>
      <c r="D33" s="17">
        <v>68800</v>
      </c>
      <c r="E33" s="17">
        <f>D33*1.07</f>
        <v>73616</v>
      </c>
    </row>
    <row r="34" spans="1:5" s="7" customFormat="1" ht="15.65" customHeight="1" x14ac:dyDescent="0.45">
      <c r="A34" s="40" t="s">
        <v>71</v>
      </c>
      <c r="B34" s="44"/>
      <c r="C34" s="65"/>
      <c r="D34" s="45"/>
      <c r="E34" s="43"/>
    </row>
    <row r="35" spans="1:5" s="7" customFormat="1" ht="18" customHeight="1" x14ac:dyDescent="0.45">
      <c r="A35" s="13" t="s">
        <v>72</v>
      </c>
      <c r="B35" s="14" t="s">
        <v>73</v>
      </c>
      <c r="C35" s="61" t="s">
        <v>74</v>
      </c>
      <c r="D35" s="17">
        <v>29800</v>
      </c>
      <c r="E35" s="17">
        <f>D35*1.07</f>
        <v>31886.000000000004</v>
      </c>
    </row>
    <row r="36" spans="1:5" s="7" customFormat="1" ht="18" customHeight="1" x14ac:dyDescent="0.45">
      <c r="A36" s="13" t="s">
        <v>75</v>
      </c>
      <c r="B36" s="14" t="s">
        <v>76</v>
      </c>
      <c r="C36" s="61" t="s">
        <v>77</v>
      </c>
      <c r="D36" s="17">
        <v>32800</v>
      </c>
      <c r="E36" s="17">
        <f>D36*1.07</f>
        <v>35096</v>
      </c>
    </row>
    <row r="37" spans="1:5" s="7" customFormat="1" ht="15.65" customHeight="1" x14ac:dyDescent="0.45">
      <c r="A37" s="40" t="s">
        <v>78</v>
      </c>
      <c r="B37" s="45"/>
      <c r="C37" s="65"/>
      <c r="D37" s="45"/>
      <c r="E37" s="43"/>
    </row>
    <row r="38" spans="1:5" s="7" customFormat="1" ht="18" customHeight="1" x14ac:dyDescent="0.45">
      <c r="A38" s="13" t="s">
        <v>79</v>
      </c>
      <c r="B38" s="14" t="s">
        <v>78</v>
      </c>
      <c r="C38" s="61" t="s">
        <v>80</v>
      </c>
      <c r="D38" s="17">
        <v>52800</v>
      </c>
      <c r="E38" s="17">
        <f>D38*1.07</f>
        <v>56496</v>
      </c>
    </row>
    <row r="39" spans="1:5" ht="20" customHeight="1" x14ac:dyDescent="0.45">
      <c r="A39" s="79" t="s">
        <v>81</v>
      </c>
      <c r="B39" s="80"/>
      <c r="C39" s="80"/>
      <c r="D39" s="80"/>
      <c r="E39" s="81"/>
    </row>
    <row r="40" spans="1:5" s="7" customFormat="1" ht="15.65" customHeight="1" x14ac:dyDescent="0.45">
      <c r="A40" s="36" t="s">
        <v>60</v>
      </c>
      <c r="B40" s="37"/>
      <c r="C40" s="38"/>
      <c r="D40" s="38"/>
      <c r="E40" s="39"/>
    </row>
    <row r="41" spans="1:5" ht="15.65" customHeight="1" x14ac:dyDescent="0.45">
      <c r="A41" s="40" t="s">
        <v>82</v>
      </c>
      <c r="B41" s="44"/>
      <c r="C41" s="46"/>
      <c r="D41" s="46"/>
      <c r="E41" s="47">
        <v>1.07</v>
      </c>
    </row>
    <row r="42" spans="1:5" ht="18" customHeight="1" x14ac:dyDescent="0.45">
      <c r="A42" s="13" t="s">
        <v>83</v>
      </c>
      <c r="B42" s="30" t="s">
        <v>84</v>
      </c>
      <c r="C42" s="61" t="s">
        <v>85</v>
      </c>
      <c r="D42" s="17">
        <v>38800</v>
      </c>
      <c r="E42" s="17">
        <f>D42*1.07</f>
        <v>41516</v>
      </c>
    </row>
    <row r="43" spans="1:5" ht="18" customHeight="1" x14ac:dyDescent="0.45">
      <c r="A43" s="13" t="s">
        <v>86</v>
      </c>
      <c r="B43" s="30" t="s">
        <v>87</v>
      </c>
      <c r="C43" s="61" t="s">
        <v>88</v>
      </c>
      <c r="D43" s="17">
        <v>85800</v>
      </c>
      <c r="E43" s="17">
        <f>D43*1.07</f>
        <v>91806</v>
      </c>
    </row>
    <row r="44" spans="1:5" s="7" customFormat="1" ht="18" customHeight="1" x14ac:dyDescent="0.45">
      <c r="A44" s="13" t="s">
        <v>89</v>
      </c>
      <c r="B44" s="30" t="s">
        <v>90</v>
      </c>
      <c r="C44" s="61" t="s">
        <v>91</v>
      </c>
      <c r="D44" s="17">
        <v>47800</v>
      </c>
      <c r="E44" s="17">
        <f>D44*1.07</f>
        <v>51146</v>
      </c>
    </row>
    <row r="45" spans="1:5" s="7" customFormat="1" ht="15.65" customHeight="1" x14ac:dyDescent="0.45">
      <c r="A45" s="40" t="s">
        <v>92</v>
      </c>
      <c r="B45" s="41"/>
      <c r="C45" s="42"/>
      <c r="D45" s="42"/>
      <c r="E45" s="43"/>
    </row>
    <row r="46" spans="1:5" s="7" customFormat="1" ht="18" customHeight="1" x14ac:dyDescent="0.45">
      <c r="A46" s="13" t="s">
        <v>93</v>
      </c>
      <c r="B46" s="14" t="s">
        <v>94</v>
      </c>
      <c r="C46" s="61" t="s">
        <v>95</v>
      </c>
      <c r="D46" s="17">
        <v>34000</v>
      </c>
      <c r="E46" s="17">
        <f>D46*1.07</f>
        <v>36380</v>
      </c>
    </row>
    <row r="47" spans="1:5" s="7" customFormat="1" ht="15.65" customHeight="1" x14ac:dyDescent="0.45">
      <c r="A47" s="40" t="s">
        <v>96</v>
      </c>
      <c r="B47" s="44"/>
      <c r="C47" s="65"/>
      <c r="D47" s="45"/>
      <c r="E47" s="43"/>
    </row>
    <row r="48" spans="1:5" ht="18" customHeight="1" x14ac:dyDescent="0.45">
      <c r="A48" s="13" t="s">
        <v>97</v>
      </c>
      <c r="B48" s="14" t="s">
        <v>98</v>
      </c>
      <c r="C48" s="61" t="s">
        <v>99</v>
      </c>
      <c r="D48" s="17">
        <v>31800</v>
      </c>
      <c r="E48" s="17">
        <f>D48*1.07</f>
        <v>34026</v>
      </c>
    </row>
    <row r="49" spans="1:5" ht="18" customHeight="1" x14ac:dyDescent="0.45">
      <c r="A49" s="13" t="s">
        <v>100</v>
      </c>
      <c r="B49" s="14" t="s">
        <v>101</v>
      </c>
      <c r="C49" s="61" t="s">
        <v>102</v>
      </c>
      <c r="D49" s="17">
        <v>35800</v>
      </c>
      <c r="E49" s="17">
        <f>D49*1.07</f>
        <v>38306</v>
      </c>
    </row>
    <row r="50" spans="1:5" ht="15.65" customHeight="1" x14ac:dyDescent="0.45">
      <c r="A50" s="48" t="s">
        <v>103</v>
      </c>
      <c r="B50" s="45"/>
      <c r="C50" s="65"/>
      <c r="D50" s="45"/>
      <c r="E50" s="43"/>
    </row>
    <row r="51" spans="1:5" ht="18" customHeight="1" x14ac:dyDescent="0.45">
      <c r="A51" s="13" t="s">
        <v>104</v>
      </c>
      <c r="B51" s="13" t="s">
        <v>105</v>
      </c>
      <c r="C51" s="61" t="s">
        <v>106</v>
      </c>
      <c r="D51" s="17">
        <v>38800</v>
      </c>
      <c r="E51" s="17">
        <f>D51*1.07</f>
        <v>41516</v>
      </c>
    </row>
    <row r="52" spans="1:5" ht="15.65" customHeight="1" x14ac:dyDescent="0.45">
      <c r="A52" s="40" t="s">
        <v>107</v>
      </c>
      <c r="B52" s="45"/>
      <c r="C52" s="65"/>
      <c r="D52" s="45"/>
      <c r="E52" s="43"/>
    </row>
    <row r="53" spans="1:5" ht="18" customHeight="1" x14ac:dyDescent="0.45">
      <c r="A53" s="29" t="s">
        <v>108</v>
      </c>
      <c r="B53" s="29" t="s">
        <v>109</v>
      </c>
      <c r="C53" s="61" t="s">
        <v>110</v>
      </c>
      <c r="D53" s="17">
        <v>51900</v>
      </c>
      <c r="E53" s="17">
        <f>D53*1.07</f>
        <v>55533</v>
      </c>
    </row>
    <row r="54" spans="1:5" ht="15.65" customHeight="1" x14ac:dyDescent="0.45">
      <c r="A54" s="23" t="s">
        <v>13</v>
      </c>
      <c r="B54" s="24"/>
      <c r="C54" s="25"/>
      <c r="D54" s="25"/>
      <c r="E54" s="26"/>
    </row>
    <row r="55" spans="1:5" ht="18" customHeight="1" x14ac:dyDescent="0.45">
      <c r="A55" s="13" t="s">
        <v>111</v>
      </c>
      <c r="B55" s="29" t="s">
        <v>112</v>
      </c>
      <c r="C55" s="61" t="s">
        <v>113</v>
      </c>
      <c r="D55" s="17">
        <v>84800</v>
      </c>
      <c r="E55" s="16">
        <f>D55*1.07</f>
        <v>90736</v>
      </c>
    </row>
    <row r="56" spans="1:5" ht="18" customHeight="1" x14ac:dyDescent="0.45">
      <c r="A56" s="13" t="s">
        <v>114</v>
      </c>
      <c r="B56" s="29" t="s">
        <v>115</v>
      </c>
      <c r="C56" s="61" t="s">
        <v>116</v>
      </c>
      <c r="D56" s="17">
        <v>32800</v>
      </c>
      <c r="E56" s="16">
        <f t="shared" ref="E56:E61" si="1">D56*1.07</f>
        <v>35096</v>
      </c>
    </row>
    <row r="57" spans="1:5" ht="18" customHeight="1" x14ac:dyDescent="0.45">
      <c r="A57" s="13" t="s">
        <v>117</v>
      </c>
      <c r="B57" s="29" t="s">
        <v>118</v>
      </c>
      <c r="C57" s="61" t="s">
        <v>119</v>
      </c>
      <c r="D57" s="17">
        <v>29800</v>
      </c>
      <c r="E57" s="16">
        <f t="shared" si="1"/>
        <v>31886.000000000004</v>
      </c>
    </row>
    <row r="58" spans="1:5" ht="18" customHeight="1" x14ac:dyDescent="0.45">
      <c r="A58" s="13" t="s">
        <v>120</v>
      </c>
      <c r="B58" s="29" t="s">
        <v>121</v>
      </c>
      <c r="C58" s="61" t="s">
        <v>122</v>
      </c>
      <c r="D58" s="17">
        <v>24800</v>
      </c>
      <c r="E58" s="16">
        <f t="shared" si="1"/>
        <v>26536</v>
      </c>
    </row>
    <row r="59" spans="1:5" ht="18" customHeight="1" x14ac:dyDescent="0.45">
      <c r="A59" s="13" t="s">
        <v>123</v>
      </c>
      <c r="B59" s="29" t="s">
        <v>124</v>
      </c>
      <c r="C59" s="61" t="s">
        <v>122</v>
      </c>
      <c r="D59" s="17">
        <v>24800</v>
      </c>
      <c r="E59" s="16">
        <f t="shared" si="1"/>
        <v>26536</v>
      </c>
    </row>
    <row r="60" spans="1:5" ht="18" customHeight="1" x14ac:dyDescent="0.45">
      <c r="A60" s="49" t="s">
        <v>125</v>
      </c>
      <c r="B60" s="50" t="s">
        <v>126</v>
      </c>
      <c r="C60" s="61" t="s">
        <v>127</v>
      </c>
      <c r="D60" s="17">
        <v>24800</v>
      </c>
      <c r="E60" s="16">
        <f t="shared" si="1"/>
        <v>26536</v>
      </c>
    </row>
    <row r="61" spans="1:5" ht="18" customHeight="1" x14ac:dyDescent="0.45">
      <c r="A61" s="49" t="s">
        <v>128</v>
      </c>
      <c r="B61" s="50" t="s">
        <v>129</v>
      </c>
      <c r="C61" s="61" t="s">
        <v>130</v>
      </c>
      <c r="D61" s="17">
        <v>19800</v>
      </c>
      <c r="E61" s="16">
        <f t="shared" si="1"/>
        <v>21186</v>
      </c>
    </row>
    <row r="62" spans="1:5" s="7" customFormat="1" ht="15.65" customHeight="1" x14ac:dyDescent="0.45">
      <c r="A62" s="18" t="s">
        <v>10</v>
      </c>
      <c r="B62" s="19"/>
      <c r="C62" s="20"/>
      <c r="D62" s="20"/>
      <c r="E62" s="22"/>
    </row>
    <row r="63" spans="1:5" s="7" customFormat="1" ht="15.65" customHeight="1" x14ac:dyDescent="0.45">
      <c r="A63" s="40" t="s">
        <v>131</v>
      </c>
      <c r="B63" s="45"/>
      <c r="C63" s="41"/>
      <c r="D63" s="41"/>
      <c r="E63" s="51"/>
    </row>
    <row r="64" spans="1:5" ht="18" customHeight="1" x14ac:dyDescent="0.45">
      <c r="A64" s="29" t="s">
        <v>132</v>
      </c>
      <c r="B64" s="52" t="s">
        <v>133</v>
      </c>
      <c r="C64" s="61" t="s">
        <v>134</v>
      </c>
      <c r="D64" s="17">
        <v>24000</v>
      </c>
      <c r="E64" s="16">
        <f>D64*1.07</f>
        <v>25680</v>
      </c>
    </row>
    <row r="65" spans="1:5" ht="20" customHeight="1" x14ac:dyDescent="0.45">
      <c r="A65" s="69" t="s">
        <v>183</v>
      </c>
      <c r="B65" s="70"/>
      <c r="C65" s="70"/>
      <c r="D65" s="70"/>
      <c r="E65" s="71"/>
    </row>
    <row r="66" spans="1:5" s="7" customFormat="1" ht="15.65" customHeight="1" x14ac:dyDescent="0.45">
      <c r="A66" s="18" t="s">
        <v>10</v>
      </c>
      <c r="B66" s="19"/>
      <c r="C66" s="20"/>
      <c r="D66" s="20"/>
      <c r="E66" s="22"/>
    </row>
    <row r="67" spans="1:5" ht="18" customHeight="1" x14ac:dyDescent="0.45">
      <c r="A67" s="49" t="s">
        <v>135</v>
      </c>
      <c r="B67" s="50" t="s">
        <v>136</v>
      </c>
      <c r="C67" s="61" t="s">
        <v>175</v>
      </c>
      <c r="D67" s="53">
        <v>9900</v>
      </c>
      <c r="E67" s="16">
        <f>D67*1.07</f>
        <v>10593</v>
      </c>
    </row>
    <row r="68" spans="1:5" ht="21" customHeight="1" x14ac:dyDescent="0.45">
      <c r="A68" s="82" t="s">
        <v>137</v>
      </c>
      <c r="B68" s="82"/>
      <c r="C68" s="82"/>
      <c r="D68" s="82"/>
      <c r="E68" s="82"/>
    </row>
    <row r="69" spans="1:5" ht="15.65" customHeight="1" x14ac:dyDescent="0.45">
      <c r="A69" s="23" t="s">
        <v>13</v>
      </c>
      <c r="B69" s="24"/>
      <c r="C69" s="25"/>
      <c r="D69" s="25"/>
      <c r="E69" s="25"/>
    </row>
    <row r="70" spans="1:5" ht="15.65" customHeight="1" x14ac:dyDescent="0.45">
      <c r="A70" s="40" t="s">
        <v>138</v>
      </c>
      <c r="B70" s="45"/>
      <c r="C70" s="41"/>
      <c r="D70" s="41"/>
      <c r="E70" s="41"/>
    </row>
    <row r="71" spans="1:5" ht="18" customHeight="1" x14ac:dyDescent="0.45">
      <c r="A71" s="29" t="s">
        <v>139</v>
      </c>
      <c r="B71" s="30" t="s">
        <v>140</v>
      </c>
      <c r="C71" s="61" t="s">
        <v>141</v>
      </c>
      <c r="D71" s="17">
        <v>22800</v>
      </c>
      <c r="E71" s="17">
        <f>D71*1.07</f>
        <v>24396</v>
      </c>
    </row>
    <row r="72" spans="1:5" ht="18" customHeight="1" x14ac:dyDescent="0.45">
      <c r="A72" s="29" t="s">
        <v>142</v>
      </c>
      <c r="B72" s="30" t="s">
        <v>143</v>
      </c>
      <c r="C72" s="61" t="s">
        <v>144</v>
      </c>
      <c r="D72" s="17">
        <v>64200</v>
      </c>
      <c r="E72" s="17">
        <f>D72*1.07</f>
        <v>68694</v>
      </c>
    </row>
    <row r="73" spans="1:5" ht="18" customHeight="1" x14ac:dyDescent="0.45">
      <c r="A73" s="29" t="s">
        <v>145</v>
      </c>
      <c r="B73" s="30" t="s">
        <v>146</v>
      </c>
      <c r="C73" s="61" t="s">
        <v>147</v>
      </c>
      <c r="D73" s="17">
        <v>13500</v>
      </c>
      <c r="E73" s="17">
        <f>D73*1.07</f>
        <v>14445</v>
      </c>
    </row>
    <row r="74" spans="1:5" ht="18" customHeight="1" x14ac:dyDescent="0.45">
      <c r="A74" s="29" t="s">
        <v>148</v>
      </c>
      <c r="B74" s="30" t="s">
        <v>149</v>
      </c>
      <c r="C74" s="61" t="s">
        <v>150</v>
      </c>
      <c r="D74" s="17">
        <v>13000</v>
      </c>
      <c r="E74" s="17">
        <f>D74*1.07</f>
        <v>13910</v>
      </c>
    </row>
    <row r="75" spans="1:5" ht="20" customHeight="1" x14ac:dyDescent="0.45">
      <c r="A75" s="69" t="s">
        <v>151</v>
      </c>
      <c r="B75" s="70"/>
      <c r="C75" s="70"/>
      <c r="D75" s="70"/>
      <c r="E75" s="71"/>
    </row>
    <row r="76" spans="1:5" ht="15.65" customHeight="1" x14ac:dyDescent="0.45">
      <c r="A76" s="36" t="s">
        <v>60</v>
      </c>
      <c r="B76" s="37"/>
      <c r="C76" s="38"/>
      <c r="D76" s="38"/>
      <c r="E76" s="39"/>
    </row>
    <row r="77" spans="1:5" ht="15.65" customHeight="1" x14ac:dyDescent="0.45">
      <c r="A77" s="40" t="s">
        <v>61</v>
      </c>
      <c r="B77" s="41"/>
      <c r="C77" s="42"/>
      <c r="D77" s="42"/>
      <c r="E77" s="43"/>
    </row>
    <row r="78" spans="1:5" ht="18" customHeight="1" x14ac:dyDescent="0.45">
      <c r="A78" s="13" t="s">
        <v>62</v>
      </c>
      <c r="B78" s="14" t="s">
        <v>63</v>
      </c>
      <c r="C78" s="61" t="s">
        <v>64</v>
      </c>
      <c r="D78" s="17">
        <v>48000</v>
      </c>
      <c r="E78" s="17">
        <f>D78*1.07</f>
        <v>51360</v>
      </c>
    </row>
    <row r="79" spans="1:5" ht="18" customHeight="1" x14ac:dyDescent="0.45">
      <c r="A79" s="13" t="s">
        <v>65</v>
      </c>
      <c r="B79" s="14" t="s">
        <v>66</v>
      </c>
      <c r="C79" s="61" t="s">
        <v>67</v>
      </c>
      <c r="D79" s="17">
        <v>52800</v>
      </c>
      <c r="E79" s="17">
        <f t="shared" ref="E79:E80" si="2">D79*1.07</f>
        <v>56496</v>
      </c>
    </row>
    <row r="80" spans="1:5" ht="18" customHeight="1" x14ac:dyDescent="0.45">
      <c r="A80" s="13" t="s">
        <v>68</v>
      </c>
      <c r="B80" s="14" t="s">
        <v>69</v>
      </c>
      <c r="C80" s="61" t="s">
        <v>70</v>
      </c>
      <c r="D80" s="17">
        <v>68800</v>
      </c>
      <c r="E80" s="17">
        <f t="shared" si="2"/>
        <v>73616</v>
      </c>
    </row>
    <row r="81" spans="1:5" ht="15.65" customHeight="1" x14ac:dyDescent="0.45">
      <c r="A81" s="40" t="s">
        <v>71</v>
      </c>
      <c r="B81" s="44"/>
      <c r="C81" s="45"/>
      <c r="D81" s="45"/>
      <c r="E81" s="43"/>
    </row>
    <row r="82" spans="1:5" ht="18" customHeight="1" x14ac:dyDescent="0.45">
      <c r="A82" s="13" t="s">
        <v>72</v>
      </c>
      <c r="B82" s="14" t="s">
        <v>73</v>
      </c>
      <c r="C82" s="61" t="s">
        <v>74</v>
      </c>
      <c r="D82" s="17">
        <v>29800</v>
      </c>
      <c r="E82" s="17">
        <f>D82*1.07</f>
        <v>31886.000000000004</v>
      </c>
    </row>
    <row r="83" spans="1:5" ht="18" customHeight="1" x14ac:dyDescent="0.45">
      <c r="A83" s="13" t="s">
        <v>75</v>
      </c>
      <c r="B83" s="14" t="s">
        <v>76</v>
      </c>
      <c r="C83" s="61" t="s">
        <v>77</v>
      </c>
      <c r="D83" s="17">
        <v>32800</v>
      </c>
      <c r="E83" s="17">
        <f>D83*1.07</f>
        <v>35096</v>
      </c>
    </row>
    <row r="84" spans="1:5" ht="15.65" customHeight="1" x14ac:dyDescent="0.45">
      <c r="A84" s="40" t="s">
        <v>78</v>
      </c>
      <c r="B84" s="45"/>
      <c r="C84" s="45"/>
      <c r="D84" s="45"/>
      <c r="E84" s="43"/>
    </row>
    <row r="85" spans="1:5" ht="18" customHeight="1" x14ac:dyDescent="0.45">
      <c r="A85" s="13" t="s">
        <v>79</v>
      </c>
      <c r="B85" s="14" t="s">
        <v>78</v>
      </c>
      <c r="C85" s="61" t="s">
        <v>80</v>
      </c>
      <c r="D85" s="17">
        <v>52800</v>
      </c>
      <c r="E85" s="17">
        <f>D85*1.07</f>
        <v>56496</v>
      </c>
    </row>
    <row r="86" spans="1:5" ht="15.65" customHeight="1" x14ac:dyDescent="0.45">
      <c r="A86" s="23" t="s">
        <v>13</v>
      </c>
      <c r="B86" s="24"/>
      <c r="C86" s="25"/>
      <c r="D86" s="25"/>
      <c r="E86" s="26"/>
    </row>
    <row r="87" spans="1:5" s="55" customFormat="1" ht="18" customHeight="1" x14ac:dyDescent="0.45">
      <c r="A87" s="54" t="s">
        <v>152</v>
      </c>
      <c r="B87" s="50" t="s">
        <v>153</v>
      </c>
      <c r="C87" s="67" t="s">
        <v>154</v>
      </c>
      <c r="D87" s="17">
        <v>35800</v>
      </c>
      <c r="E87" s="53">
        <f>D87*1.07</f>
        <v>38306</v>
      </c>
    </row>
    <row r="88" spans="1:5" s="55" customFormat="1" ht="18" customHeight="1" x14ac:dyDescent="0.45">
      <c r="A88" s="54" t="s">
        <v>155</v>
      </c>
      <c r="B88" s="50" t="s">
        <v>156</v>
      </c>
      <c r="C88" s="67" t="s">
        <v>157</v>
      </c>
      <c r="D88" s="17">
        <v>22800</v>
      </c>
      <c r="E88" s="53">
        <f>D88*1.07</f>
        <v>24396</v>
      </c>
    </row>
    <row r="89" spans="1:5" s="55" customFormat="1" ht="18" customHeight="1" x14ac:dyDescent="0.45">
      <c r="A89" s="54" t="s">
        <v>184</v>
      </c>
      <c r="B89" s="50" t="s">
        <v>185</v>
      </c>
      <c r="C89" s="67" t="s">
        <v>174</v>
      </c>
      <c r="D89" s="17">
        <v>35000</v>
      </c>
      <c r="E89" s="53">
        <f>D89*1.07</f>
        <v>37450</v>
      </c>
    </row>
    <row r="90" spans="1:5" ht="15.65" customHeight="1" x14ac:dyDescent="0.45">
      <c r="A90" s="56" t="s">
        <v>158</v>
      </c>
      <c r="B90" s="57"/>
      <c r="C90" s="58"/>
      <c r="D90" s="58"/>
      <c r="E90" s="59"/>
    </row>
    <row r="91" spans="1:5" s="55" customFormat="1" ht="18" customHeight="1" x14ac:dyDescent="0.45">
      <c r="A91" s="54" t="s">
        <v>159</v>
      </c>
      <c r="B91" s="50" t="s">
        <v>160</v>
      </c>
      <c r="C91" s="68" t="s">
        <v>161</v>
      </c>
      <c r="D91" s="17">
        <v>24800</v>
      </c>
      <c r="E91" s="53">
        <f>D91*1.07</f>
        <v>26536</v>
      </c>
    </row>
    <row r="92" spans="1:5" ht="20" customHeight="1" x14ac:dyDescent="0.45">
      <c r="A92" s="69" t="s">
        <v>162</v>
      </c>
      <c r="B92" s="70"/>
      <c r="C92" s="70"/>
      <c r="D92" s="70"/>
      <c r="E92" s="71"/>
    </row>
    <row r="93" spans="1:5" ht="20.5" customHeight="1" x14ac:dyDescent="0.45">
      <c r="A93" s="36" t="s">
        <v>60</v>
      </c>
      <c r="B93" s="37"/>
      <c r="C93" s="38"/>
      <c r="D93" s="38"/>
      <c r="E93" s="39"/>
    </row>
    <row r="94" spans="1:5" ht="15.65" customHeight="1" x14ac:dyDescent="0.45">
      <c r="A94" s="40" t="s">
        <v>82</v>
      </c>
      <c r="B94" s="44"/>
      <c r="C94" s="46"/>
      <c r="D94" s="46"/>
      <c r="E94" s="47">
        <v>1.07</v>
      </c>
    </row>
    <row r="95" spans="1:5" s="7" customFormat="1" ht="18" customHeight="1" x14ac:dyDescent="0.45">
      <c r="A95" s="13" t="s">
        <v>83</v>
      </c>
      <c r="B95" s="30" t="s">
        <v>84</v>
      </c>
      <c r="C95" s="61" t="s">
        <v>85</v>
      </c>
      <c r="D95" s="17">
        <v>38800</v>
      </c>
      <c r="E95" s="17">
        <f>D95*1.07</f>
        <v>41516</v>
      </c>
    </row>
    <row r="96" spans="1:5" s="7" customFormat="1" ht="18" customHeight="1" x14ac:dyDescent="0.45">
      <c r="A96" s="13" t="s">
        <v>86</v>
      </c>
      <c r="B96" s="30" t="s">
        <v>87</v>
      </c>
      <c r="C96" s="61" t="s">
        <v>88</v>
      </c>
      <c r="D96" s="17">
        <v>85800</v>
      </c>
      <c r="E96" s="17">
        <f t="shared" ref="E96:E97" si="3">D96*1.07</f>
        <v>91806</v>
      </c>
    </row>
    <row r="97" spans="1:5" s="7" customFormat="1" ht="18" customHeight="1" x14ac:dyDescent="0.45">
      <c r="A97" s="13" t="s">
        <v>89</v>
      </c>
      <c r="B97" s="30" t="s">
        <v>90</v>
      </c>
      <c r="C97" s="61" t="s">
        <v>91</v>
      </c>
      <c r="D97" s="17">
        <v>47800</v>
      </c>
      <c r="E97" s="17">
        <f t="shared" si="3"/>
        <v>51146</v>
      </c>
    </row>
    <row r="98" spans="1:5" s="7" customFormat="1" ht="15.65" customHeight="1" x14ac:dyDescent="0.45">
      <c r="A98" s="40" t="s">
        <v>92</v>
      </c>
      <c r="B98" s="41"/>
      <c r="C98" s="64"/>
      <c r="D98" s="42"/>
      <c r="E98" s="43"/>
    </row>
    <row r="99" spans="1:5" s="7" customFormat="1" ht="18" customHeight="1" x14ac:dyDescent="0.45">
      <c r="A99" s="13" t="s">
        <v>93</v>
      </c>
      <c r="B99" s="14" t="s">
        <v>94</v>
      </c>
      <c r="C99" s="61" t="s">
        <v>95</v>
      </c>
      <c r="D99" s="17">
        <v>34000</v>
      </c>
      <c r="E99" s="17">
        <f>D99*1.07</f>
        <v>36380</v>
      </c>
    </row>
    <row r="100" spans="1:5" s="7" customFormat="1" ht="15.65" customHeight="1" x14ac:dyDescent="0.45">
      <c r="A100" s="40" t="s">
        <v>96</v>
      </c>
      <c r="B100" s="44"/>
      <c r="C100" s="65"/>
      <c r="D100" s="45"/>
      <c r="E100" s="43"/>
    </row>
    <row r="101" spans="1:5" ht="18" customHeight="1" x14ac:dyDescent="0.45">
      <c r="A101" s="13" t="s">
        <v>97</v>
      </c>
      <c r="B101" s="14" t="s">
        <v>96</v>
      </c>
      <c r="C101" s="61" t="s">
        <v>99</v>
      </c>
      <c r="D101" s="17">
        <v>31800</v>
      </c>
      <c r="E101" s="17">
        <f>D101*1.07</f>
        <v>34026</v>
      </c>
    </row>
    <row r="102" spans="1:5" ht="18" customHeight="1" x14ac:dyDescent="0.45">
      <c r="A102" s="13" t="s">
        <v>100</v>
      </c>
      <c r="B102" s="14" t="s">
        <v>96</v>
      </c>
      <c r="C102" s="61" t="s">
        <v>102</v>
      </c>
      <c r="D102" s="17">
        <v>35800</v>
      </c>
      <c r="E102" s="17">
        <f>D102*1.07</f>
        <v>38306</v>
      </c>
    </row>
    <row r="103" spans="1:5" ht="15.65" customHeight="1" x14ac:dyDescent="0.45">
      <c r="A103" s="48" t="s">
        <v>103</v>
      </c>
      <c r="B103" s="45"/>
      <c r="C103" s="65"/>
      <c r="D103" s="45"/>
      <c r="E103" s="43"/>
    </row>
    <row r="104" spans="1:5" ht="18" customHeight="1" x14ac:dyDescent="0.45">
      <c r="A104" s="13" t="s">
        <v>104</v>
      </c>
      <c r="B104" s="13" t="s">
        <v>105</v>
      </c>
      <c r="C104" s="61" t="s">
        <v>106</v>
      </c>
      <c r="D104" s="17">
        <v>38800</v>
      </c>
      <c r="E104" s="17">
        <f>D104*1.07</f>
        <v>41516</v>
      </c>
    </row>
    <row r="105" spans="1:5" ht="15.65" customHeight="1" x14ac:dyDescent="0.45">
      <c r="A105" s="40" t="s">
        <v>107</v>
      </c>
      <c r="B105" s="45"/>
      <c r="C105" s="65"/>
      <c r="D105" s="45"/>
      <c r="E105" s="43"/>
    </row>
    <row r="106" spans="1:5" ht="18" customHeight="1" x14ac:dyDescent="0.45">
      <c r="A106" s="29" t="s">
        <v>108</v>
      </c>
      <c r="B106" s="29" t="s">
        <v>109</v>
      </c>
      <c r="C106" s="61" t="s">
        <v>110</v>
      </c>
      <c r="D106" s="17">
        <v>51900</v>
      </c>
      <c r="E106" s="17">
        <f>D106*1.07</f>
        <v>55533</v>
      </c>
    </row>
    <row r="107" spans="1:5" ht="15.65" customHeight="1" x14ac:dyDescent="0.45">
      <c r="A107" s="23" t="s">
        <v>13</v>
      </c>
      <c r="B107" s="24"/>
      <c r="C107" s="62"/>
      <c r="D107" s="25"/>
      <c r="E107" s="26"/>
    </row>
    <row r="108" spans="1:5" s="7" customFormat="1" ht="18" customHeight="1" x14ac:dyDescent="0.45">
      <c r="A108" s="13" t="s">
        <v>163</v>
      </c>
      <c r="B108" s="14" t="s">
        <v>164</v>
      </c>
      <c r="C108" s="61" t="s">
        <v>165</v>
      </c>
      <c r="D108" s="17">
        <v>26000</v>
      </c>
      <c r="E108" s="17">
        <f>D108*1.07</f>
        <v>27820</v>
      </c>
    </row>
    <row r="109" spans="1:5" ht="20" customHeight="1" x14ac:dyDescent="0.45">
      <c r="A109" s="69" t="s">
        <v>166</v>
      </c>
      <c r="B109" s="70"/>
      <c r="C109" s="70"/>
      <c r="D109" s="70"/>
      <c r="E109" s="71"/>
    </row>
    <row r="110" spans="1:5" ht="15" customHeight="1" x14ac:dyDescent="0.45">
      <c r="A110" s="23" t="s">
        <v>13</v>
      </c>
      <c r="B110" s="24"/>
      <c r="C110" s="25"/>
      <c r="D110" s="25"/>
      <c r="E110" s="25"/>
    </row>
    <row r="111" spans="1:5" s="7" customFormat="1" ht="18" customHeight="1" x14ac:dyDescent="0.45">
      <c r="A111" s="13" t="s">
        <v>167</v>
      </c>
      <c r="B111" s="14" t="s">
        <v>168</v>
      </c>
      <c r="C111" s="61" t="s">
        <v>169</v>
      </c>
      <c r="D111" s="17">
        <v>24000</v>
      </c>
      <c r="E111" s="17">
        <f>D111*1.07</f>
        <v>25680</v>
      </c>
    </row>
    <row r="112" spans="1:5" s="7" customFormat="1" ht="18" customHeight="1" x14ac:dyDescent="0.45">
      <c r="A112" s="13" t="s">
        <v>170</v>
      </c>
      <c r="B112" s="14" t="s">
        <v>171</v>
      </c>
      <c r="C112" s="61" t="s">
        <v>172</v>
      </c>
      <c r="D112" s="17">
        <v>26000</v>
      </c>
      <c r="E112" s="17">
        <f>D112*1.07</f>
        <v>27820</v>
      </c>
    </row>
  </sheetData>
  <mergeCells count="11">
    <mergeCell ref="A2:E2"/>
    <mergeCell ref="A5:E5"/>
    <mergeCell ref="A39:E39"/>
    <mergeCell ref="A65:E65"/>
    <mergeCell ref="A68:E68"/>
    <mergeCell ref="A92:E92"/>
    <mergeCell ref="A109:E109"/>
    <mergeCell ref="A3:A4"/>
    <mergeCell ref="B3:B4"/>
    <mergeCell ref="C3:C4"/>
    <mergeCell ref="A75:E75"/>
  </mergeCells>
  <phoneticPr fontId="7" type="noConversion"/>
  <pageMargins left="0.35433070866141736" right="0.15748031496062992" top="0.27559055118110237" bottom="0.25" header="0.23622047244094491" footer="0.1574803149606299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RIQAS2026</vt:lpstr>
      <vt:lpstr>RIQAS2026!Print_Titles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Jeeranan Saen-atit</dc:creator>
  <cp:lastModifiedBy>Kunyarat</cp:lastModifiedBy>
  <cp:lastPrinted>2025-09-04T08:54:29Z</cp:lastPrinted>
  <dcterms:created xsi:type="dcterms:W3CDTF">2025-07-11T03:47:23Z</dcterms:created>
  <dcterms:modified xsi:type="dcterms:W3CDTF">2025-09-04T08:54:58Z</dcterms:modified>
</cp:coreProperties>
</file>