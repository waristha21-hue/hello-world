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editop\Cost and Price\ปรับราคา\ปรับราคา2026\"/>
    </mc:Choice>
  </mc:AlternateContent>
  <xr:revisionPtr revIDLastSave="0" documentId="13_ncr:1_{F12233C9-CBDA-413E-9329-401259E0F38C}" xr6:coauthVersionLast="47" xr6:coauthVersionMax="47" xr10:uidLastSave="{00000000-0000-0000-0000-000000000000}"/>
  <bookViews>
    <workbookView xWindow="-110" yWindow="-110" windowWidth="19420" windowHeight="10300" xr2:uid="{B7A87633-25D4-4EE0-8582-74DFD8833D56}"/>
  </bookViews>
  <sheets>
    <sheet name="QC " sheetId="9" r:id="rId1"/>
  </sheets>
  <definedNames>
    <definedName name="_xlnm.Print_Titles" localSheetId="0">'QC 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9" l="1"/>
  <c r="G72" i="9"/>
  <c r="G73" i="9"/>
  <c r="G29" i="9"/>
  <c r="A71" i="9"/>
  <c r="A72" i="9"/>
  <c r="A73" i="9"/>
  <c r="A29" i="9"/>
  <c r="G10" i="9" l="1"/>
  <c r="G11" i="9"/>
  <c r="G12" i="9"/>
  <c r="G13" i="9"/>
  <c r="A11" i="9"/>
  <c r="A12" i="9"/>
  <c r="A13" i="9"/>
  <c r="A10" i="9"/>
  <c r="A49" i="9" l="1"/>
  <c r="A8" i="9"/>
  <c r="A9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7" i="9"/>
  <c r="G55" i="9"/>
  <c r="G52" i="9"/>
  <c r="G20" i="9"/>
  <c r="G18" i="9"/>
  <c r="G92" i="9"/>
  <c r="G91" i="9"/>
  <c r="G90" i="9"/>
  <c r="G83" i="9"/>
  <c r="G82" i="9"/>
  <c r="G81" i="9"/>
  <c r="G77" i="9"/>
  <c r="G65" i="9"/>
  <c r="G64" i="9"/>
  <c r="G47" i="9"/>
  <c r="G46" i="9"/>
  <c r="G45" i="9"/>
  <c r="G35" i="9"/>
  <c r="G34" i="9"/>
  <c r="G33" i="9"/>
  <c r="G32" i="9"/>
  <c r="G28" i="9"/>
  <c r="G19" i="9"/>
  <c r="G17" i="9"/>
  <c r="G37" i="9"/>
  <c r="G102" i="9"/>
  <c r="G101" i="9"/>
  <c r="G100" i="9"/>
  <c r="G99" i="9"/>
  <c r="G98" i="9"/>
  <c r="G97" i="9"/>
  <c r="G96" i="9"/>
  <c r="G95" i="9"/>
  <c r="G94" i="9"/>
  <c r="G93" i="9"/>
  <c r="G89" i="9"/>
  <c r="G88" i="9"/>
  <c r="G87" i="9"/>
  <c r="G86" i="9"/>
  <c r="G85" i="9"/>
  <c r="G84" i="9"/>
  <c r="G80" i="9"/>
  <c r="G79" i="9"/>
  <c r="G78" i="9"/>
  <c r="G76" i="9"/>
  <c r="G75" i="9"/>
  <c r="G74" i="9"/>
  <c r="G70" i="9"/>
  <c r="G69" i="9"/>
  <c r="G68" i="9"/>
  <c r="G67" i="9"/>
  <c r="G66" i="9"/>
  <c r="G63" i="9"/>
  <c r="G62" i="9"/>
  <c r="G61" i="9"/>
  <c r="G60" i="9"/>
  <c r="G59" i="9"/>
  <c r="G58" i="9"/>
  <c r="G57" i="9"/>
  <c r="G56" i="9"/>
  <c r="G53" i="9"/>
  <c r="G50" i="9"/>
  <c r="G49" i="9"/>
  <c r="G48" i="9"/>
  <c r="G44" i="9"/>
  <c r="G43" i="9"/>
  <c r="G42" i="9"/>
  <c r="G41" i="9"/>
  <c r="G40" i="9"/>
  <c r="G39" i="9"/>
  <c r="G38" i="9"/>
  <c r="G36" i="9"/>
  <c r="G31" i="9"/>
  <c r="G30" i="9"/>
  <c r="G27" i="9"/>
  <c r="G26" i="9"/>
  <c r="G25" i="9"/>
  <c r="G24" i="9"/>
  <c r="G23" i="9"/>
  <c r="G22" i="9"/>
  <c r="G21" i="9"/>
  <c r="G16" i="9"/>
  <c r="G15" i="9"/>
  <c r="G14" i="9"/>
  <c r="G9" i="9"/>
  <c r="G8" i="9"/>
  <c r="G7" i="9"/>
  <c r="G51" i="9"/>
  <c r="G54" i="9"/>
</calcChain>
</file>

<file path=xl/sharedStrings.xml><?xml version="1.0" encoding="utf-8"?>
<sst xmlns="http://schemas.openxmlformats.org/spreadsheetml/2006/main" count="489" uniqueCount="257">
  <si>
    <t>Cat Code</t>
  </si>
  <si>
    <t>HN1530</t>
  </si>
  <si>
    <t>ASSAYED CHEMISTRY CONTROL PREMIUM PLUS LEVEL 2</t>
  </si>
  <si>
    <t>20x5</t>
  </si>
  <si>
    <t>HE1532</t>
  </si>
  <si>
    <t>ASSAYED CHEMISTRY CONTROL PREMIUM PLUS LEVEL 3</t>
  </si>
  <si>
    <t>AD5000</t>
  </si>
  <si>
    <t>ALDOLASE CALIBRATOR</t>
  </si>
  <si>
    <t>3x1</t>
  </si>
  <si>
    <t>AD5001</t>
  </si>
  <si>
    <t>ALDOLASE CONTROL LEVEL 2</t>
  </si>
  <si>
    <t>AD5002</t>
  </si>
  <si>
    <t>ALDOLASE CONTROL LEVEL 3</t>
  </si>
  <si>
    <t>3x2</t>
  </si>
  <si>
    <t>AU2352</t>
  </si>
  <si>
    <t>ASSAYED URINE CHEMISTRY CONTROL LEVEL 2</t>
  </si>
  <si>
    <t>12x10</t>
  </si>
  <si>
    <t>AU2353</t>
  </si>
  <si>
    <t>ASSAYED URINE CHEMISTRY CONTROL LEVEL 3</t>
  </si>
  <si>
    <t>BE454</t>
  </si>
  <si>
    <t>BILIRUBIN ELEVATED</t>
  </si>
  <si>
    <t>10x3</t>
  </si>
  <si>
    <t>CF10138</t>
  </si>
  <si>
    <t>LIQUID C.S.F CONTROL LEVEL 2</t>
  </si>
  <si>
    <t>CF10139</t>
  </si>
  <si>
    <t>LIQUID C.S.F CONTROL LEVEL 3</t>
  </si>
  <si>
    <t>CF1500</t>
  </si>
  <si>
    <t>C.S.F. CONTROL LEVEL 2</t>
  </si>
  <si>
    <t>CF1501</t>
  </si>
  <si>
    <t>C.S.F. CONTROL LEVEL 3</t>
  </si>
  <si>
    <t>CG5021</t>
  </si>
  <si>
    <t>COAGULATION CONTROL LEVEL 1</t>
  </si>
  <si>
    <t>12 x 1</t>
  </si>
  <si>
    <t>CG5022</t>
  </si>
  <si>
    <t>COAGULATION CONTROL LEVEL 2</t>
  </si>
  <si>
    <t>CG5023</t>
  </si>
  <si>
    <t>COAGULATION CONTROL LEVEL 3</t>
  </si>
  <si>
    <t>CK1212</t>
  </si>
  <si>
    <t>CK-MB CONTROL</t>
  </si>
  <si>
    <t>10x2</t>
  </si>
  <si>
    <t>CK2393</t>
  </si>
  <si>
    <t>CK-MB CALIBRATOR</t>
  </si>
  <si>
    <t>3x3</t>
  </si>
  <si>
    <t>CQ3100</t>
  </si>
  <si>
    <t>TRI-LEVEL CARDIAC CONTROL</t>
  </si>
  <si>
    <t>CYS2699</t>
  </si>
  <si>
    <t>CYSTATIN C CALIBRATOR SET</t>
  </si>
  <si>
    <t>CYS5019</t>
  </si>
  <si>
    <t>CYSTATIN C NORMAL CONTROL</t>
  </si>
  <si>
    <t>CYS5020</t>
  </si>
  <si>
    <t>CYSTATIN C ELEVATED CONTROL</t>
  </si>
  <si>
    <t>DA2703</t>
  </si>
  <si>
    <t>ETHANOL CALIBRATOR/CONTROL SET</t>
  </si>
  <si>
    <t>4x10</t>
  </si>
  <si>
    <t>EA1366</t>
  </si>
  <si>
    <t>AMMONIA ETHANOL CONTROL LEVEL 1</t>
  </si>
  <si>
    <t>6x2</t>
  </si>
  <si>
    <t>EA1367</t>
  </si>
  <si>
    <t>AMMONIA ETHANOL CONTROL LEVEL 2</t>
  </si>
  <si>
    <t>EA1368</t>
  </si>
  <si>
    <t>AMMONIA ETHANOL CONTROL LEVEL 3</t>
  </si>
  <si>
    <t>HA10155</t>
  </si>
  <si>
    <t>Liquid HbA1c Control Level 1 &amp; 2</t>
  </si>
  <si>
    <t>HA3444</t>
  </si>
  <si>
    <t>HbA1c Calibrator Series</t>
  </si>
  <si>
    <t>HA5072</t>
  </si>
  <si>
    <t>HbA1c CONTROL LEVEL 1 AND LEVEL 2</t>
  </si>
  <si>
    <t>2x2x0.5</t>
  </si>
  <si>
    <t>HM5162</t>
  </si>
  <si>
    <t>HAEMATOLOGY TRI-LEVEL CONTROL</t>
  </si>
  <si>
    <t>3x2x4.5</t>
  </si>
  <si>
    <t>IA2633</t>
  </si>
  <si>
    <t>IMMUNOASSAY CONTROL PREMIUM TRI-LEVEL</t>
  </si>
  <si>
    <t>4x3x5</t>
  </si>
  <si>
    <t>12x5</t>
  </si>
  <si>
    <t>IA3109</t>
  </si>
  <si>
    <t>IMMUNUNOASSAY CONTROL PREMIUM PLUS LEVEL 1</t>
  </si>
  <si>
    <t>IA3110</t>
  </si>
  <si>
    <t>IMMUNUNOASSAY CONTROL PREMIUM PLUS LEVEL 2</t>
  </si>
  <si>
    <t>IA3111</t>
  </si>
  <si>
    <t>IMMUNUNOASSAY CONTROL PREMIUM PLUS LEVEL 3</t>
  </si>
  <si>
    <t>IA3112</t>
  </si>
  <si>
    <t>IMMUNUNOASSAY CONTROL PREMIUM PLUS TRI-LEVEL</t>
  </si>
  <si>
    <t>IAS3113</t>
  </si>
  <si>
    <t>IMMUNOASSAY SPECIALITY CONTROL 1 LEVEL 1</t>
  </si>
  <si>
    <t>5x2</t>
  </si>
  <si>
    <t>IAS3114</t>
  </si>
  <si>
    <t>IMMUNOASSAY SPECIALITY CONTROL 1 LEVEL 2</t>
  </si>
  <si>
    <t>IAS3115</t>
  </si>
  <si>
    <t>IMMUNOASSAY SPECIALITY CONTROL 1 LEVEL 3</t>
  </si>
  <si>
    <t>5x1</t>
  </si>
  <si>
    <t>LAE4215</t>
  </si>
  <si>
    <t>LIQUID ASSAYED CHEMISTRY CONTROL PREMIUM PLUS LEVEL 3</t>
  </si>
  <si>
    <t>LAL4213</t>
  </si>
  <si>
    <t>LIQUID ASSAYED CHEMISTRY CONTROL PREMIUM PLUS LEVEL 1</t>
  </si>
  <si>
    <t>LAN4214</t>
  </si>
  <si>
    <t>LIQUID ASSAYED CHEMISTRY CONTROL PREMIUM PLUS LEVEL 2</t>
  </si>
  <si>
    <t>5x3</t>
  </si>
  <si>
    <t>LE2662</t>
  </si>
  <si>
    <t>LIPID CONTROL LEVEL 2</t>
  </si>
  <si>
    <t>LE2663</t>
  </si>
  <si>
    <t>LIPID CONTROL LEVEL 3</t>
  </si>
  <si>
    <t>LUE5071</t>
  </si>
  <si>
    <t>LIQUID CHEMISTRY CONTROL PREMIUM PLUS LEVEL 3</t>
  </si>
  <si>
    <t>LUL5069</t>
  </si>
  <si>
    <t>LIQUID CHEMISTRY CONTROL PREMIUM PLUS LEVEL 1</t>
  </si>
  <si>
    <t>LUN5070</t>
  </si>
  <si>
    <t>LIQUID CHEMISTRY CONTROL PREMIUM PLUS LEVEL 2</t>
  </si>
  <si>
    <t>MSS5024</t>
  </si>
  <si>
    <t>MATERNAL SCREENING CONTROL LEVEL 1</t>
  </si>
  <si>
    <t>3 x 1</t>
  </si>
  <si>
    <t>MSS5025</t>
  </si>
  <si>
    <t>MATERNAL SCREENING CONTROL LEVEL 2</t>
  </si>
  <si>
    <t>MSS5026</t>
  </si>
  <si>
    <t>MATERNAL SCREENING CONTROL LEVEL 3</t>
  </si>
  <si>
    <t>PS2682</t>
  </si>
  <si>
    <t>SPECIFIC PROTEIN CONTROL LEVEL 1 (Liquid)</t>
  </si>
  <si>
    <t>PS2683</t>
  </si>
  <si>
    <t>SPECIFIC PROTEIN CONTROL LEVEL 2 (Liquid)</t>
  </si>
  <si>
    <t>PS2684</t>
  </si>
  <si>
    <t>SPECIFIC PROTEIN CONTROL LEVEL 3 (Liquid)</t>
  </si>
  <si>
    <t>PTH10110</t>
  </si>
  <si>
    <t>PARATHYROID HORMONE CONTROL LEVEL 1</t>
  </si>
  <si>
    <t>PTH10111</t>
  </si>
  <si>
    <t>PARATHYROID HORMONE CONTROL LEVEL 2</t>
  </si>
  <si>
    <t>PTH10112</t>
  </si>
  <si>
    <t>PARATHYROID HORMONE CONTROL LEVEL 3</t>
  </si>
  <si>
    <t>SI10448</t>
  </si>
  <si>
    <t>SERUM INDICES</t>
  </si>
  <si>
    <t>6x5</t>
  </si>
  <si>
    <t>3x5</t>
  </si>
  <si>
    <t>SR10351</t>
  </si>
  <si>
    <t>Serology Negative Control</t>
  </si>
  <si>
    <t>SR10352</t>
  </si>
  <si>
    <t>Serology I Positive Control</t>
  </si>
  <si>
    <t>SR10353</t>
  </si>
  <si>
    <t>Serology II Positive Control</t>
  </si>
  <si>
    <t>SR10354</t>
  </si>
  <si>
    <t>Serology III Positive Control</t>
  </si>
  <si>
    <t>TU5002</t>
  </si>
  <si>
    <t>TUMOUR MARKERS CONTROL LEVEL 2</t>
  </si>
  <si>
    <t>TU5003</t>
  </si>
  <si>
    <t>TUMOUR MARKERS CONTROL LEVEL 3</t>
  </si>
  <si>
    <t>UC5033</t>
  </si>
  <si>
    <t>URINALYSIS CONTROL LEVEL 1</t>
  </si>
  <si>
    <t>12x12</t>
  </si>
  <si>
    <t>UC5034</t>
  </si>
  <si>
    <t>URINALYSIS CONTROL LEVEL 2</t>
  </si>
  <si>
    <t>UC5074</t>
  </si>
  <si>
    <t>LIQUID URINE CONTROL LEVEL 2</t>
  </si>
  <si>
    <t>10x10</t>
  </si>
  <si>
    <t>CQ3259</t>
  </si>
  <si>
    <t>10x5</t>
  </si>
  <si>
    <t>CAL2350</t>
  </si>
  <si>
    <t>CLINICAL CHEMISTRY CALIBRATION SERUM LEVEL 2</t>
  </si>
  <si>
    <t>CAL2351</t>
  </si>
  <si>
    <t>CLINICAL CHEMISTRY CALIBRATION SERUM LEVEL 3</t>
  </si>
  <si>
    <t>CH2673</t>
  </si>
  <si>
    <t>CP2476</t>
  </si>
  <si>
    <t>10x1</t>
  </si>
  <si>
    <t>CP2477</t>
  </si>
  <si>
    <t>CP2478</t>
  </si>
  <si>
    <t>CP2480</t>
  </si>
  <si>
    <t>FR2993</t>
  </si>
  <si>
    <t>FRUCTOSAMINE CALIBRATOR</t>
  </si>
  <si>
    <t>FR2994</t>
  </si>
  <si>
    <t>FRUCTOSAMINE CONTROL LEVEL 1</t>
  </si>
  <si>
    <t>FR2996</t>
  </si>
  <si>
    <t>FRUCTOSAMINE CONTROL LEVEL 3</t>
  </si>
  <si>
    <t>IT2691</t>
  </si>
  <si>
    <t>IT2692</t>
  </si>
  <si>
    <t>MA1567</t>
  </si>
  <si>
    <t>NX2331</t>
  </si>
  <si>
    <t>TOTAL ANTIOXIDANT STATUS CONTROL</t>
  </si>
  <si>
    <t>PD2617</t>
  </si>
  <si>
    <t>G6P-DH CONTROL DEFICIENT</t>
  </si>
  <si>
    <t>6x0.5</t>
  </si>
  <si>
    <t>PD2618</t>
  </si>
  <si>
    <t>G6P-DH CONTROL NORMAL</t>
  </si>
  <si>
    <t>SC10154</t>
  </si>
  <si>
    <t>RANSEL CALIBRATOR</t>
  </si>
  <si>
    <t>SC692</t>
  </si>
  <si>
    <t>RANSEL CONTROL</t>
  </si>
  <si>
    <t>SD126</t>
  </si>
  <si>
    <t>RANSOD CONTROL</t>
  </si>
  <si>
    <t>CAL2350/SET</t>
  </si>
  <si>
    <t>4x5ml.</t>
  </si>
  <si>
    <t>CAL2351/SET</t>
  </si>
  <si>
    <t>HE1532/SET</t>
  </si>
  <si>
    <t xml:space="preserve"> Human Assayed Multi-sera Level 3 4x5 ml.  </t>
  </si>
  <si>
    <t>HN1530/SET</t>
  </si>
  <si>
    <t xml:space="preserve"> Human Assayed Multi-sera Level 2 4x5 ml.  </t>
  </si>
  <si>
    <t>DESCRIPTIONS</t>
  </si>
  <si>
    <t>เลขที่ใบสำคัญ</t>
  </si>
  <si>
    <t>65-2-2-1-0005629</t>
  </si>
  <si>
    <t>65-2-2-1-0016440</t>
  </si>
  <si>
    <t>65-2-2-1-0016661</t>
  </si>
  <si>
    <t>65-2-2-1-0016660</t>
  </si>
  <si>
    <t>65-2-2-1-0016666</t>
  </si>
  <si>
    <t>65-2-2-1-0016673</t>
  </si>
  <si>
    <t>65-2-2-1-0016674</t>
  </si>
  <si>
    <t>65-2-2-1-0016846</t>
  </si>
  <si>
    <t xml:space="preserve"> 65-2-2-1-0017470</t>
  </si>
  <si>
    <t>65-2-2-1-0017568</t>
  </si>
  <si>
    <t>65-2-2-1-0017736</t>
  </si>
  <si>
    <t>65-2-2-1-0017737</t>
  </si>
  <si>
    <t>65-2-2-1-0018007</t>
  </si>
  <si>
    <t>65-2-2-1-0018022</t>
  </si>
  <si>
    <t>65-2-2-1-0018921</t>
  </si>
  <si>
    <t>66-2-2-1-0004495</t>
  </si>
  <si>
    <t>66-2-2-1-0013556</t>
  </si>
  <si>
    <t>67-2-2-1-0001384</t>
  </si>
  <si>
    <t>67-2-2-1-0001432</t>
  </si>
  <si>
    <t>67-2-2-1-0001445</t>
  </si>
  <si>
    <t>67-2-2-1-0001446</t>
  </si>
  <si>
    <t>67-2-2-1-0001447</t>
  </si>
  <si>
    <t>67-2-2-1-0001448</t>
  </si>
  <si>
    <t>SIZE</t>
  </si>
  <si>
    <t>RANDOX ACUSERA CALIBRATORS &amp; CONTROLS PRICE LIST</t>
  </si>
  <si>
    <t>SPECIFIC PROTEIN CALIBRATOR (Liquid) (UNDILUTED SAMPLE ASSAYS)</t>
  </si>
  <si>
    <t>SPECIFIC PROTEIN CALIBRATOR (Liquid) (DILUTED SAMPLE ASSAYS)</t>
  </si>
  <si>
    <t>CRP CONTROL LEVEL 2 (Liquid) (IMMUNOTURBIDIMETRIC)</t>
  </si>
  <si>
    <t>CRP HIGH SENSITIVITY CONTROL LEVEL 1 (Liquid) (L.E.I)</t>
  </si>
  <si>
    <t>CRP HIGH SENSITIVITY CONTROL LEVEL 2 (Liquid) (L.E.I)</t>
  </si>
  <si>
    <t>CRP HIGH SENSITIVITY CALIB. SERIES (Multi-point, liquid)(L.E.I)</t>
  </si>
  <si>
    <t>HDL/LDL-CHOLESTEROL CALIB. (CLEARANCE)</t>
  </si>
  <si>
    <t>4x5</t>
  </si>
  <si>
    <t>RDX-</t>
  </si>
  <si>
    <t>NOTE: In case of Acucera 247, the cost of s/w and h/w must be considered.</t>
  </si>
  <si>
    <t>L1:1x8,L2-6:1x2</t>
  </si>
  <si>
    <t xml:space="preserve"> ( VAT)</t>
  </si>
  <si>
    <t xml:space="preserve">PRICE / PACK </t>
  </si>
  <si>
    <t xml:space="preserve">  (w/o VAT)</t>
  </si>
  <si>
    <t>PRICE / PACK</t>
  </si>
  <si>
    <t>(ml)</t>
  </si>
  <si>
    <t xml:space="preserve"> (P/N)</t>
  </si>
  <si>
    <t>PART NUMBER</t>
  </si>
  <si>
    <t xml:space="preserve">Calibration Serum Level II  </t>
  </si>
  <si>
    <t xml:space="preserve">Calibration Serum Level III  </t>
  </si>
  <si>
    <r>
      <t xml:space="preserve">MICROALBUMIN CALIBRATOR SERIES </t>
    </r>
    <r>
      <rPr>
        <sz val="8"/>
        <rFont val="Aptos"/>
        <family val="2"/>
      </rPr>
      <t>(IMMUNOTURBIDIMETRIC)</t>
    </r>
  </si>
  <si>
    <t>AMH10509</t>
  </si>
  <si>
    <t>AMH Control Level 1</t>
  </si>
  <si>
    <t>AMH10514</t>
  </si>
  <si>
    <t>AMH Control Level 2</t>
  </si>
  <si>
    <t>AMH10515</t>
  </si>
  <si>
    <t>AMH Control Level 3</t>
  </si>
  <si>
    <t>AMH10516</t>
  </si>
  <si>
    <t>AMH Control Level 4</t>
  </si>
  <si>
    <t>N/A</t>
  </si>
  <si>
    <t>LE5013</t>
  </si>
  <si>
    <t>LE5014</t>
  </si>
  <si>
    <t>sLDL CONTROL LEVEL 2</t>
  </si>
  <si>
    <t>LE5015</t>
  </si>
  <si>
    <t>sLDL CONTROL LEVEL 3</t>
  </si>
  <si>
    <t>CH5050</t>
  </si>
  <si>
    <t>sLDL CALIBRATOR</t>
  </si>
  <si>
    <t>sLDL CONTROL LEVEL 1 3 x 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</si>
</sst>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.0%"/>
    <numFmt numFmtId="188" formatCode="[$-409]mmm\-yy;@"/>
  </numFmts>
  <fonts count="19" x14ac:knownFonts="1">
    <font>
      <sz val="11"/>
      <color theme="1"/>
      <name val="Aptos"/>
      <family val="2"/>
      <charset val="222"/>
    </font>
    <font>
      <sz val="11"/>
      <color theme="1"/>
      <name val="Aptos"/>
      <family val="2"/>
      <charset val="222"/>
    </font>
    <font>
      <sz val="9"/>
      <color theme="1"/>
      <name val="Aptos"/>
      <family val="2"/>
    </font>
    <font>
      <sz val="11"/>
      <color theme="1"/>
      <name val="Tahoma"/>
      <family val="2"/>
      <scheme val="minor"/>
    </font>
    <font>
      <b/>
      <sz val="9"/>
      <name val="Aptos"/>
      <family val="2"/>
    </font>
    <font>
      <b/>
      <sz val="9"/>
      <color rgb="FFFF0000"/>
      <name val="Aptos"/>
      <family val="2"/>
    </font>
    <font>
      <sz val="9"/>
      <name val="Aptos"/>
      <family val="2"/>
    </font>
    <font>
      <sz val="10"/>
      <name val="Verdana"/>
      <family val="2"/>
    </font>
    <font>
      <sz val="8"/>
      <name val="Aptos"/>
      <family val="2"/>
    </font>
    <font>
      <sz val="8"/>
      <name val="Aptos"/>
      <family val="2"/>
      <charset val="222"/>
    </font>
    <font>
      <b/>
      <sz val="11"/>
      <color theme="1"/>
      <name val="Aptos"/>
      <family val="2"/>
    </font>
    <font>
      <b/>
      <i/>
      <sz val="9"/>
      <color theme="1"/>
      <name val="Aptos"/>
      <family val="2"/>
    </font>
    <font>
      <b/>
      <sz val="12"/>
      <color theme="1"/>
      <name val="Aptos"/>
      <family val="2"/>
    </font>
    <font>
      <i/>
      <sz val="9"/>
      <color theme="1"/>
      <name val="Aptos"/>
      <family val="2"/>
    </font>
    <font>
      <b/>
      <i/>
      <sz val="9"/>
      <name val="Aptos"/>
      <family val="2"/>
    </font>
    <font>
      <b/>
      <i/>
      <sz val="11"/>
      <color theme="1"/>
      <name val="Aptos"/>
      <family val="2"/>
    </font>
    <font>
      <sz val="8"/>
      <color theme="1"/>
      <name val="Aptos"/>
      <family val="2"/>
    </font>
    <font>
      <i/>
      <sz val="8"/>
      <color theme="1"/>
      <name val="Aptos"/>
      <family val="2"/>
    </font>
    <font>
      <sz val="10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3" fillId="0" borderId="0"/>
    <xf numFmtId="0" fontId="7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/>
    <xf numFmtId="0" fontId="6" fillId="0" borderId="0" xfId="0" applyFont="1"/>
    <xf numFmtId="0" fontId="6" fillId="3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shrinkToFit="1"/>
    </xf>
    <xf numFmtId="0" fontId="6" fillId="4" borderId="1" xfId="0" applyFont="1" applyFill="1" applyBorder="1" applyAlignment="1">
      <alignment shrinkToFit="1"/>
    </xf>
    <xf numFmtId="0" fontId="6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43" fontId="6" fillId="0" borderId="0" xfId="1" applyFont="1" applyAlignment="1">
      <alignment vertical="center" shrinkToFit="1"/>
    </xf>
    <xf numFmtId="43" fontId="6" fillId="0" borderId="1" xfId="1" applyFont="1" applyFill="1" applyBorder="1" applyAlignment="1">
      <alignment vertical="center" shrinkToFit="1"/>
    </xf>
    <xf numFmtId="43" fontId="6" fillId="0" borderId="1" xfId="1" applyFont="1" applyFill="1" applyBorder="1" applyAlignment="1">
      <alignment horizontal="right" shrinkToFit="1"/>
    </xf>
    <xf numFmtId="14" fontId="11" fillId="0" borderId="0" xfId="0" applyNumberFormat="1" applyFont="1" applyAlignment="1">
      <alignment vertical="center" shrinkToFit="1"/>
    </xf>
    <xf numFmtId="0" fontId="10" fillId="0" borderId="0" xfId="0" applyFont="1" applyAlignment="1">
      <alignment horizontal="center" vertical="center"/>
    </xf>
    <xf numFmtId="188" fontId="13" fillId="0" borderId="0" xfId="0" applyNumberFormat="1" applyFont="1" applyAlignment="1">
      <alignment vertical="center" shrinkToFit="1"/>
    </xf>
    <xf numFmtId="0" fontId="2" fillId="0" borderId="3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shrinkToFit="1"/>
    </xf>
    <xf numFmtId="43" fontId="6" fillId="0" borderId="3" xfId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3" fontId="4" fillId="0" borderId="2" xfId="1" applyFont="1" applyBorder="1" applyAlignment="1">
      <alignment vertical="center" shrinkToFit="1"/>
    </xf>
    <xf numFmtId="43" fontId="4" fillId="0" borderId="3" xfId="1" applyFont="1" applyBorder="1" applyAlignment="1">
      <alignment horizontal="center" vertical="center" wrapText="1" shrinkToFit="1"/>
    </xf>
    <xf numFmtId="0" fontId="15" fillId="0" borderId="0" xfId="0" applyFont="1" applyAlignment="1">
      <alignment horizontal="center" vertical="center"/>
    </xf>
    <xf numFmtId="187" fontId="13" fillId="0" borderId="3" xfId="5" applyNumberFormat="1" applyFont="1" applyFill="1" applyBorder="1" applyAlignment="1">
      <alignment vertical="center" shrinkToFit="1"/>
    </xf>
    <xf numFmtId="187" fontId="13" fillId="0" borderId="1" xfId="5" applyNumberFormat="1" applyFont="1" applyFill="1" applyBorder="1" applyAlignment="1">
      <alignment vertical="center" shrinkToFit="1"/>
    </xf>
    <xf numFmtId="0" fontId="13" fillId="0" borderId="0" xfId="0" applyFont="1" applyAlignment="1">
      <alignment vertical="center" shrinkToFi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/>
    <xf numFmtId="0" fontId="2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43" fontId="6" fillId="0" borderId="1" xfId="0" applyNumberFormat="1" applyFont="1" applyBorder="1" applyAlignment="1">
      <alignment vertical="center" shrinkToFit="1"/>
    </xf>
    <xf numFmtId="187" fontId="17" fillId="0" borderId="1" xfId="5" applyNumberFormat="1" applyFont="1" applyFill="1" applyBorder="1" applyAlignment="1">
      <alignment vertical="center" shrinkToFit="1"/>
    </xf>
    <xf numFmtId="0" fontId="12" fillId="0" borderId="0" xfId="0" applyFont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 shrinkToFit="1"/>
    </xf>
    <xf numFmtId="14" fontId="14" fillId="0" borderId="3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2" fillId="0" borderId="1" xfId="1" applyFont="1" applyBorder="1" applyAlignment="1">
      <alignment horizontal="right" vertical="center" shrinkToFit="1"/>
    </xf>
    <xf numFmtId="0" fontId="18" fillId="5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 shrinkToFit="1"/>
    </xf>
    <xf numFmtId="43" fontId="6" fillId="0" borderId="1" xfId="1" applyFont="1" applyBorder="1" applyAlignment="1">
      <alignment vertical="center"/>
    </xf>
  </cellXfs>
  <cellStyles count="6">
    <cellStyle name="Comma" xfId="1" builtinId="3"/>
    <cellStyle name="Normal" xfId="0" builtinId="0"/>
    <cellStyle name="Normal 2" xfId="4" xr:uid="{714BB61C-1A9A-4EAC-B252-61CFE2C1C910}"/>
    <cellStyle name="Normal 4" xfId="3" xr:uid="{128758D6-1790-4B57-B6C0-34CA3B1FD518}"/>
    <cellStyle name="Normal 4 2" xfId="2" xr:uid="{81C1B40A-C476-433F-8936-6A6954E9CA5F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4A60-D283-4A6A-95E8-05CBD4F6D51D}">
  <dimension ref="A1:H102"/>
  <sheetViews>
    <sheetView tabSelected="1" workbookViewId="0">
      <selection activeCell="L3" sqref="L3"/>
    </sheetView>
  </sheetViews>
  <sheetFormatPr defaultRowHeight="12" x14ac:dyDescent="0.45"/>
  <cols>
    <col min="1" max="1" width="14.25" style="3" customWidth="1"/>
    <col min="2" max="2" width="8.33203125" style="3" hidden="1" customWidth="1"/>
    <col min="3" max="3" width="19.9140625" style="1" hidden="1" customWidth="1"/>
    <col min="4" max="4" width="41.1640625" style="1" customWidth="1"/>
    <col min="5" max="5" width="7.33203125" style="2" customWidth="1"/>
    <col min="6" max="7" width="9.5" style="15" customWidth="1"/>
    <col min="8" max="8" width="8.58203125" style="36" customWidth="1"/>
    <col min="9" max="16384" width="8.6640625" style="3"/>
  </cols>
  <sheetData>
    <row r="1" spans="1:8" x14ac:dyDescent="0.45">
      <c r="H1" s="20">
        <v>45889</v>
      </c>
    </row>
    <row r="2" spans="1:8" ht="22.5" customHeight="1" x14ac:dyDescent="0.45">
      <c r="A2" s="43" t="s">
        <v>218</v>
      </c>
      <c r="B2" s="43"/>
      <c r="C2" s="43"/>
      <c r="D2" s="43"/>
      <c r="E2" s="43"/>
      <c r="F2" s="43"/>
      <c r="G2" s="43"/>
      <c r="H2" s="43"/>
    </row>
    <row r="3" spans="1:8" ht="13" customHeight="1" x14ac:dyDescent="0.45">
      <c r="A3" s="19"/>
      <c r="B3" s="19"/>
      <c r="C3" s="19"/>
      <c r="D3" s="19"/>
      <c r="E3" s="19"/>
      <c r="F3" s="19"/>
      <c r="G3" s="19"/>
      <c r="H3" s="33"/>
    </row>
    <row r="4" spans="1:8" ht="13" customHeight="1" x14ac:dyDescent="0.45">
      <c r="A4" s="14" t="s">
        <v>228</v>
      </c>
      <c r="H4" s="18"/>
    </row>
    <row r="5" spans="1:8" ht="12.5" customHeight="1" x14ac:dyDescent="0.45">
      <c r="A5" s="30" t="s">
        <v>236</v>
      </c>
      <c r="B5" s="26"/>
      <c r="C5" s="28"/>
      <c r="D5" s="46" t="s">
        <v>192</v>
      </c>
      <c r="E5" s="30" t="s">
        <v>217</v>
      </c>
      <c r="F5" s="31" t="s">
        <v>233</v>
      </c>
      <c r="G5" s="31" t="s">
        <v>231</v>
      </c>
      <c r="H5" s="44" t="s">
        <v>193</v>
      </c>
    </row>
    <row r="6" spans="1:8" ht="12.5" customHeight="1" x14ac:dyDescent="0.45">
      <c r="A6" s="29" t="s">
        <v>235</v>
      </c>
      <c r="B6" s="26"/>
      <c r="C6" s="27" t="s">
        <v>0</v>
      </c>
      <c r="D6" s="47"/>
      <c r="E6" s="29" t="s">
        <v>234</v>
      </c>
      <c r="F6" s="32" t="s">
        <v>232</v>
      </c>
      <c r="G6" s="29" t="s">
        <v>230</v>
      </c>
      <c r="H6" s="45"/>
    </row>
    <row r="7" spans="1:8" ht="12.5" customHeight="1" x14ac:dyDescent="0.45">
      <c r="A7" s="21" t="str">
        <f>B7&amp;C7</f>
        <v>RDX-AD5000</v>
      </c>
      <c r="B7" s="21" t="s">
        <v>227</v>
      </c>
      <c r="C7" s="22" t="s">
        <v>6</v>
      </c>
      <c r="D7" s="23" t="s">
        <v>7</v>
      </c>
      <c r="E7" s="24" t="s">
        <v>8</v>
      </c>
      <c r="F7" s="25">
        <v>5800</v>
      </c>
      <c r="G7" s="25">
        <f t="shared" ref="G7" si="0">F7*1.07</f>
        <v>6206</v>
      </c>
      <c r="H7" s="34" t="s">
        <v>209</v>
      </c>
    </row>
    <row r="8" spans="1:8" ht="12.5" customHeight="1" x14ac:dyDescent="0.45">
      <c r="A8" s="13" t="str">
        <f>B8&amp;C8</f>
        <v>RDX-AD5001</v>
      </c>
      <c r="B8" s="13" t="s">
        <v>227</v>
      </c>
      <c r="C8" s="8" t="s">
        <v>9</v>
      </c>
      <c r="D8" s="4" t="s">
        <v>10</v>
      </c>
      <c r="E8" s="9" t="s">
        <v>8</v>
      </c>
      <c r="F8" s="16">
        <v>5800</v>
      </c>
      <c r="G8" s="16">
        <f>F8*1.07</f>
        <v>6206</v>
      </c>
      <c r="H8" s="35" t="s">
        <v>209</v>
      </c>
    </row>
    <row r="9" spans="1:8" ht="12.5" customHeight="1" x14ac:dyDescent="0.45">
      <c r="A9" s="13" t="str">
        <f>B9&amp;C9</f>
        <v>RDX-AD5002</v>
      </c>
      <c r="B9" s="13" t="s">
        <v>227</v>
      </c>
      <c r="C9" s="8" t="s">
        <v>11</v>
      </c>
      <c r="D9" s="4" t="s">
        <v>12</v>
      </c>
      <c r="E9" s="9" t="s">
        <v>8</v>
      </c>
      <c r="F9" s="16">
        <v>5800</v>
      </c>
      <c r="G9" s="16">
        <f>F9*1.07</f>
        <v>6206</v>
      </c>
      <c r="H9" s="35" t="s">
        <v>209</v>
      </c>
    </row>
    <row r="10" spans="1:8" ht="12.5" customHeight="1" x14ac:dyDescent="0.45">
      <c r="A10" s="13" t="str">
        <f>B10&amp;C10</f>
        <v>RDX-AMH10509</v>
      </c>
      <c r="B10" s="13" t="s">
        <v>227</v>
      </c>
      <c r="C10" s="40" t="s">
        <v>240</v>
      </c>
      <c r="D10" s="4" t="s">
        <v>241</v>
      </c>
      <c r="E10" s="39" t="s">
        <v>13</v>
      </c>
      <c r="F10" s="41">
        <v>7400</v>
      </c>
      <c r="G10" s="16">
        <f>F10*1.07</f>
        <v>7918.0000000000009</v>
      </c>
      <c r="H10" s="42" t="s">
        <v>248</v>
      </c>
    </row>
    <row r="11" spans="1:8" ht="12.5" customHeight="1" x14ac:dyDescent="0.45">
      <c r="A11" s="13" t="str">
        <f>B11&amp;C11</f>
        <v>RDX-AMH10514</v>
      </c>
      <c r="B11" s="13" t="s">
        <v>227</v>
      </c>
      <c r="C11" s="40" t="s">
        <v>242</v>
      </c>
      <c r="D11" s="4" t="s">
        <v>243</v>
      </c>
      <c r="E11" s="39" t="s">
        <v>13</v>
      </c>
      <c r="F11" s="41">
        <v>7400</v>
      </c>
      <c r="G11" s="16">
        <f>F11*1.07</f>
        <v>7918.0000000000009</v>
      </c>
      <c r="H11" s="42" t="s">
        <v>248</v>
      </c>
    </row>
    <row r="12" spans="1:8" ht="12.5" customHeight="1" x14ac:dyDescent="0.45">
      <c r="A12" s="13" t="str">
        <f>B12&amp;C12</f>
        <v>RDX-AMH10515</v>
      </c>
      <c r="B12" s="13" t="s">
        <v>227</v>
      </c>
      <c r="C12" s="40" t="s">
        <v>244</v>
      </c>
      <c r="D12" s="4" t="s">
        <v>245</v>
      </c>
      <c r="E12" s="39" t="s">
        <v>13</v>
      </c>
      <c r="F12" s="41">
        <v>7400</v>
      </c>
      <c r="G12" s="16">
        <f>F12*1.07</f>
        <v>7918.0000000000009</v>
      </c>
      <c r="H12" s="42" t="s">
        <v>248</v>
      </c>
    </row>
    <row r="13" spans="1:8" ht="12.5" customHeight="1" x14ac:dyDescent="0.45">
      <c r="A13" s="13" t="str">
        <f>B13&amp;C13</f>
        <v>RDX-AMH10516</v>
      </c>
      <c r="B13" s="13" t="s">
        <v>227</v>
      </c>
      <c r="C13" s="40" t="s">
        <v>246</v>
      </c>
      <c r="D13" s="4" t="s">
        <v>247</v>
      </c>
      <c r="E13" s="39" t="s">
        <v>13</v>
      </c>
      <c r="F13" s="41">
        <v>7400</v>
      </c>
      <c r="G13" s="16">
        <f>F13*1.07</f>
        <v>7918.0000000000009</v>
      </c>
      <c r="H13" s="42" t="s">
        <v>248</v>
      </c>
    </row>
    <row r="14" spans="1:8" ht="12.5" customHeight="1" x14ac:dyDescent="0.45">
      <c r="A14" s="13" t="str">
        <f>B14&amp;C14</f>
        <v>RDX-AU2352</v>
      </c>
      <c r="B14" s="13" t="s">
        <v>227</v>
      </c>
      <c r="C14" s="8" t="s">
        <v>14</v>
      </c>
      <c r="D14" s="4" t="s">
        <v>15</v>
      </c>
      <c r="E14" s="9" t="s">
        <v>16</v>
      </c>
      <c r="F14" s="16">
        <v>9800</v>
      </c>
      <c r="G14" s="16">
        <f>F14*1.07</f>
        <v>10486</v>
      </c>
      <c r="H14" s="35" t="s">
        <v>195</v>
      </c>
    </row>
    <row r="15" spans="1:8" ht="12.5" customHeight="1" x14ac:dyDescent="0.45">
      <c r="A15" s="13" t="str">
        <f>B15&amp;C15</f>
        <v>RDX-AU2353</v>
      </c>
      <c r="B15" s="13" t="s">
        <v>227</v>
      </c>
      <c r="C15" s="8" t="s">
        <v>17</v>
      </c>
      <c r="D15" s="4" t="s">
        <v>18</v>
      </c>
      <c r="E15" s="9" t="s">
        <v>16</v>
      </c>
      <c r="F15" s="16">
        <v>9800</v>
      </c>
      <c r="G15" s="16">
        <f>F15*1.07</f>
        <v>10486</v>
      </c>
      <c r="H15" s="35" t="s">
        <v>195</v>
      </c>
    </row>
    <row r="16" spans="1:8" ht="12.5" customHeight="1" x14ac:dyDescent="0.45">
      <c r="A16" s="13" t="str">
        <f>B16&amp;C16</f>
        <v>RDX-BE454</v>
      </c>
      <c r="B16" s="13" t="s">
        <v>227</v>
      </c>
      <c r="C16" s="8" t="s">
        <v>19</v>
      </c>
      <c r="D16" s="4" t="s">
        <v>20</v>
      </c>
      <c r="E16" s="9" t="s">
        <v>21</v>
      </c>
      <c r="F16" s="16">
        <v>6900</v>
      </c>
      <c r="G16" s="16">
        <f>F16*1.07</f>
        <v>7383</v>
      </c>
      <c r="H16" s="35" t="s">
        <v>206</v>
      </c>
    </row>
    <row r="17" spans="1:8" ht="12.5" customHeight="1" x14ac:dyDescent="0.3">
      <c r="A17" s="13" t="str">
        <f>B17&amp;C17</f>
        <v>RDX-CAL2350</v>
      </c>
      <c r="B17" s="13" t="s">
        <v>227</v>
      </c>
      <c r="C17" s="7" t="s">
        <v>153</v>
      </c>
      <c r="D17" s="5" t="s">
        <v>154</v>
      </c>
      <c r="E17" s="12" t="s">
        <v>3</v>
      </c>
      <c r="F17" s="17">
        <v>18400</v>
      </c>
      <c r="G17" s="16">
        <f>F17*1.07</f>
        <v>19688</v>
      </c>
      <c r="H17" s="35" t="s">
        <v>206</v>
      </c>
    </row>
    <row r="18" spans="1:8" ht="12.5" customHeight="1" x14ac:dyDescent="0.3">
      <c r="A18" s="13" t="str">
        <f>B18&amp;C18</f>
        <v>RDX-CAL2350/SET</v>
      </c>
      <c r="B18" s="13" t="s">
        <v>227</v>
      </c>
      <c r="C18" s="11" t="s">
        <v>185</v>
      </c>
      <c r="D18" s="10" t="s">
        <v>237</v>
      </c>
      <c r="E18" s="12" t="s">
        <v>226</v>
      </c>
      <c r="F18" s="17">
        <v>6000</v>
      </c>
      <c r="G18" s="16">
        <f>F18*1.07</f>
        <v>6420</v>
      </c>
      <c r="H18" s="35" t="s">
        <v>206</v>
      </c>
    </row>
    <row r="19" spans="1:8" ht="12.5" customHeight="1" x14ac:dyDescent="0.3">
      <c r="A19" s="13" t="str">
        <f>B19&amp;C19</f>
        <v>RDX-CAL2351</v>
      </c>
      <c r="B19" s="13" t="s">
        <v>227</v>
      </c>
      <c r="C19" s="7" t="s">
        <v>155</v>
      </c>
      <c r="D19" s="5" t="s">
        <v>156</v>
      </c>
      <c r="E19" s="12" t="s">
        <v>3</v>
      </c>
      <c r="F19" s="17">
        <v>18400</v>
      </c>
      <c r="G19" s="16">
        <f>F19*1.07</f>
        <v>19688</v>
      </c>
      <c r="H19" s="35" t="s">
        <v>206</v>
      </c>
    </row>
    <row r="20" spans="1:8" ht="12.5" customHeight="1" x14ac:dyDescent="0.3">
      <c r="A20" s="13" t="str">
        <f>B20&amp;C20</f>
        <v>RDX-CAL2351/SET</v>
      </c>
      <c r="B20" s="13" t="s">
        <v>227</v>
      </c>
      <c r="C20" s="11" t="s">
        <v>187</v>
      </c>
      <c r="D20" s="10" t="s">
        <v>238</v>
      </c>
      <c r="E20" s="12" t="s">
        <v>226</v>
      </c>
      <c r="F20" s="17">
        <v>6000</v>
      </c>
      <c r="G20" s="16">
        <f>F20*1.07</f>
        <v>6420</v>
      </c>
      <c r="H20" s="35" t="s">
        <v>206</v>
      </c>
    </row>
    <row r="21" spans="1:8" ht="12.5" customHeight="1" x14ac:dyDescent="0.45">
      <c r="A21" s="13" t="str">
        <f>B21&amp;C21</f>
        <v>RDX-CF10138</v>
      </c>
      <c r="B21" s="13" t="s">
        <v>227</v>
      </c>
      <c r="C21" s="8" t="s">
        <v>22</v>
      </c>
      <c r="D21" s="4" t="s">
        <v>23</v>
      </c>
      <c r="E21" s="9" t="s">
        <v>21</v>
      </c>
      <c r="F21" s="16">
        <v>13800</v>
      </c>
      <c r="G21" s="16">
        <f>F21*1.07</f>
        <v>14766</v>
      </c>
      <c r="H21" s="35" t="s">
        <v>199</v>
      </c>
    </row>
    <row r="22" spans="1:8" ht="12.5" customHeight="1" x14ac:dyDescent="0.45">
      <c r="A22" s="13" t="str">
        <f>B22&amp;C22</f>
        <v>RDX-CF10139</v>
      </c>
      <c r="B22" s="13" t="s">
        <v>227</v>
      </c>
      <c r="C22" s="8" t="s">
        <v>24</v>
      </c>
      <c r="D22" s="4" t="s">
        <v>25</v>
      </c>
      <c r="E22" s="9" t="s">
        <v>21</v>
      </c>
      <c r="F22" s="16">
        <v>13800</v>
      </c>
      <c r="G22" s="16">
        <f>F22*1.07</f>
        <v>14766</v>
      </c>
      <c r="H22" s="35" t="s">
        <v>199</v>
      </c>
    </row>
    <row r="23" spans="1:8" ht="12.5" customHeight="1" x14ac:dyDescent="0.45">
      <c r="A23" s="13" t="str">
        <f>B23&amp;C23</f>
        <v>RDX-CF1500</v>
      </c>
      <c r="B23" s="13" t="s">
        <v>227</v>
      </c>
      <c r="C23" s="8" t="s">
        <v>26</v>
      </c>
      <c r="D23" s="4" t="s">
        <v>27</v>
      </c>
      <c r="E23" s="9" t="s">
        <v>21</v>
      </c>
      <c r="F23" s="16">
        <v>12800</v>
      </c>
      <c r="G23" s="16">
        <f>F23*1.07</f>
        <v>13696</v>
      </c>
      <c r="H23" s="35" t="s">
        <v>199</v>
      </c>
    </row>
    <row r="24" spans="1:8" ht="12.5" customHeight="1" x14ac:dyDescent="0.45">
      <c r="A24" s="13" t="str">
        <f>B24&amp;C24</f>
        <v>RDX-CF1501</v>
      </c>
      <c r="B24" s="13" t="s">
        <v>227</v>
      </c>
      <c r="C24" s="8" t="s">
        <v>28</v>
      </c>
      <c r="D24" s="4" t="s">
        <v>29</v>
      </c>
      <c r="E24" s="9" t="s">
        <v>21</v>
      </c>
      <c r="F24" s="16">
        <v>12800</v>
      </c>
      <c r="G24" s="16">
        <f>F24*1.07</f>
        <v>13696</v>
      </c>
      <c r="H24" s="35" t="s">
        <v>199</v>
      </c>
    </row>
    <row r="25" spans="1:8" ht="12.5" customHeight="1" x14ac:dyDescent="0.45">
      <c r="A25" s="13" t="str">
        <f>B25&amp;C25</f>
        <v>RDX-CG5021</v>
      </c>
      <c r="B25" s="13" t="s">
        <v>227</v>
      </c>
      <c r="C25" s="8" t="s">
        <v>30</v>
      </c>
      <c r="D25" s="4" t="s">
        <v>31</v>
      </c>
      <c r="E25" s="9" t="s">
        <v>32</v>
      </c>
      <c r="F25" s="16">
        <v>12800</v>
      </c>
      <c r="G25" s="16">
        <f>F25*1.07</f>
        <v>13696</v>
      </c>
      <c r="H25" s="35" t="s">
        <v>210</v>
      </c>
    </row>
    <row r="26" spans="1:8" ht="12.5" customHeight="1" x14ac:dyDescent="0.45">
      <c r="A26" s="13" t="str">
        <f>B26&amp;C26</f>
        <v>RDX-CG5022</v>
      </c>
      <c r="B26" s="13" t="s">
        <v>227</v>
      </c>
      <c r="C26" s="8" t="s">
        <v>33</v>
      </c>
      <c r="D26" s="4" t="s">
        <v>34</v>
      </c>
      <c r="E26" s="9" t="s">
        <v>32</v>
      </c>
      <c r="F26" s="16">
        <v>12800</v>
      </c>
      <c r="G26" s="16">
        <f>F26*1.07</f>
        <v>13696</v>
      </c>
      <c r="H26" s="35" t="s">
        <v>210</v>
      </c>
    </row>
    <row r="27" spans="1:8" ht="12.5" customHeight="1" x14ac:dyDescent="0.45">
      <c r="A27" s="13" t="str">
        <f>B27&amp;C27</f>
        <v>RDX-CG5023</v>
      </c>
      <c r="B27" s="13" t="s">
        <v>227</v>
      </c>
      <c r="C27" s="8" t="s">
        <v>35</v>
      </c>
      <c r="D27" s="4" t="s">
        <v>36</v>
      </c>
      <c r="E27" s="9" t="s">
        <v>32</v>
      </c>
      <c r="F27" s="16">
        <v>12800</v>
      </c>
      <c r="G27" s="16">
        <f>F27*1.07</f>
        <v>13696</v>
      </c>
      <c r="H27" s="35" t="s">
        <v>210</v>
      </c>
    </row>
    <row r="28" spans="1:8" ht="12.5" customHeight="1" x14ac:dyDescent="0.3">
      <c r="A28" s="13" t="str">
        <f>B28&amp;C28</f>
        <v>RDX-CH2673</v>
      </c>
      <c r="B28" s="13" t="s">
        <v>227</v>
      </c>
      <c r="C28" s="7" t="s">
        <v>157</v>
      </c>
      <c r="D28" s="5" t="s">
        <v>225</v>
      </c>
      <c r="E28" s="12" t="s">
        <v>110</v>
      </c>
      <c r="F28" s="17">
        <v>6400</v>
      </c>
      <c r="G28" s="16">
        <f>F28*1.07</f>
        <v>6848</v>
      </c>
      <c r="H28" s="35" t="s">
        <v>204</v>
      </c>
    </row>
    <row r="29" spans="1:8" ht="12.5" customHeight="1" x14ac:dyDescent="0.45">
      <c r="A29" s="13" t="str">
        <f>B29&amp;C29</f>
        <v>RDX-CH5050</v>
      </c>
      <c r="B29" s="13" t="s">
        <v>227</v>
      </c>
      <c r="C29" s="49" t="s">
        <v>254</v>
      </c>
      <c r="D29" s="50" t="s">
        <v>255</v>
      </c>
      <c r="E29" s="39" t="s">
        <v>110</v>
      </c>
      <c r="F29" s="51">
        <v>10000</v>
      </c>
      <c r="G29" s="16">
        <f>F29*1.07</f>
        <v>10700</v>
      </c>
      <c r="H29" s="48"/>
    </row>
    <row r="30" spans="1:8" ht="12.5" customHeight="1" x14ac:dyDescent="0.45">
      <c r="A30" s="13" t="str">
        <f>B30&amp;C30</f>
        <v>RDX-CK1212</v>
      </c>
      <c r="B30" s="13" t="s">
        <v>227</v>
      </c>
      <c r="C30" s="8" t="s">
        <v>37</v>
      </c>
      <c r="D30" s="4" t="s">
        <v>38</v>
      </c>
      <c r="E30" s="9" t="s">
        <v>39</v>
      </c>
      <c r="F30" s="16">
        <v>26400</v>
      </c>
      <c r="G30" s="16">
        <f>F30*1.07</f>
        <v>28248</v>
      </c>
      <c r="H30" s="35" t="s">
        <v>213</v>
      </c>
    </row>
    <row r="31" spans="1:8" ht="12.5" customHeight="1" x14ac:dyDescent="0.45">
      <c r="A31" s="13" t="str">
        <f>B31&amp;C31</f>
        <v>RDX-CK2393</v>
      </c>
      <c r="B31" s="13" t="s">
        <v>227</v>
      </c>
      <c r="C31" s="8" t="s">
        <v>40</v>
      </c>
      <c r="D31" s="4" t="s">
        <v>41</v>
      </c>
      <c r="E31" s="9" t="s">
        <v>159</v>
      </c>
      <c r="F31" s="16">
        <v>18000</v>
      </c>
      <c r="G31" s="16">
        <f>F31*1.07</f>
        <v>19260</v>
      </c>
      <c r="H31" s="35" t="s">
        <v>213</v>
      </c>
    </row>
    <row r="32" spans="1:8" ht="12.5" customHeight="1" x14ac:dyDescent="0.3">
      <c r="A32" s="13" t="str">
        <f>B32&amp;C32</f>
        <v>RDX-CP2476</v>
      </c>
      <c r="B32" s="13" t="s">
        <v>227</v>
      </c>
      <c r="C32" s="7" t="s">
        <v>158</v>
      </c>
      <c r="D32" s="5" t="s">
        <v>222</v>
      </c>
      <c r="E32" s="12" t="s">
        <v>159</v>
      </c>
      <c r="F32" s="17">
        <v>17300</v>
      </c>
      <c r="G32" s="16">
        <f>F32*1.07</f>
        <v>18511</v>
      </c>
      <c r="H32" s="35" t="s">
        <v>211</v>
      </c>
    </row>
    <row r="33" spans="1:8" ht="12.5" customHeight="1" x14ac:dyDescent="0.3">
      <c r="A33" s="13" t="str">
        <f>B33&amp;C33</f>
        <v>RDX-CP2477</v>
      </c>
      <c r="B33" s="13" t="s">
        <v>227</v>
      </c>
      <c r="C33" s="7" t="s">
        <v>160</v>
      </c>
      <c r="D33" s="5" t="s">
        <v>223</v>
      </c>
      <c r="E33" s="12" t="s">
        <v>159</v>
      </c>
      <c r="F33" s="17">
        <v>17300</v>
      </c>
      <c r="G33" s="16">
        <f>F33*1.07</f>
        <v>18511</v>
      </c>
      <c r="H33" s="35" t="s">
        <v>211</v>
      </c>
    </row>
    <row r="34" spans="1:8" ht="12.5" customHeight="1" x14ac:dyDescent="0.3">
      <c r="A34" s="13" t="str">
        <f>B34&amp;C34</f>
        <v>RDX-CP2478</v>
      </c>
      <c r="B34" s="13" t="s">
        <v>227</v>
      </c>
      <c r="C34" s="7" t="s">
        <v>161</v>
      </c>
      <c r="D34" s="38" t="s">
        <v>224</v>
      </c>
      <c r="E34" s="12" t="s">
        <v>56</v>
      </c>
      <c r="F34" s="17">
        <v>24800</v>
      </c>
      <c r="G34" s="16">
        <f>F34*1.07</f>
        <v>26536</v>
      </c>
      <c r="H34" s="35" t="s">
        <v>211</v>
      </c>
    </row>
    <row r="35" spans="1:8" ht="12.5" customHeight="1" x14ac:dyDescent="0.3">
      <c r="A35" s="13" t="str">
        <f>B35&amp;C35</f>
        <v>RDX-CP2480</v>
      </c>
      <c r="B35" s="13" t="s">
        <v>227</v>
      </c>
      <c r="C35" s="7" t="s">
        <v>162</v>
      </c>
      <c r="D35" s="5" t="s">
        <v>221</v>
      </c>
      <c r="E35" s="12" t="s">
        <v>159</v>
      </c>
      <c r="F35" s="17">
        <v>15800</v>
      </c>
      <c r="G35" s="16">
        <f>F35*1.07</f>
        <v>16906</v>
      </c>
      <c r="H35" s="35" t="s">
        <v>216</v>
      </c>
    </row>
    <row r="36" spans="1:8" ht="12.5" customHeight="1" x14ac:dyDescent="0.45">
      <c r="A36" s="13" t="str">
        <f>B36&amp;C36</f>
        <v>RDX-CQ3100</v>
      </c>
      <c r="B36" s="13" t="s">
        <v>227</v>
      </c>
      <c r="C36" s="8" t="s">
        <v>43</v>
      </c>
      <c r="D36" s="4" t="s">
        <v>44</v>
      </c>
      <c r="E36" s="9" t="s">
        <v>8</v>
      </c>
      <c r="F36" s="16">
        <v>7200</v>
      </c>
      <c r="G36" s="16">
        <f>F36*1.07</f>
        <v>7704</v>
      </c>
      <c r="H36" s="35" t="s">
        <v>213</v>
      </c>
    </row>
    <row r="37" spans="1:8" ht="12.5" customHeight="1" x14ac:dyDescent="0.45">
      <c r="A37" s="13" t="str">
        <f>B37&amp;C37</f>
        <v>RDX-CQ3259</v>
      </c>
      <c r="B37" s="13" t="s">
        <v>227</v>
      </c>
      <c r="C37" s="8" t="s">
        <v>151</v>
      </c>
      <c r="D37" s="4" t="s">
        <v>44</v>
      </c>
      <c r="E37" s="9" t="s">
        <v>13</v>
      </c>
      <c r="F37" s="16">
        <v>14000</v>
      </c>
      <c r="G37" s="16">
        <f>F37*1.07</f>
        <v>14980</v>
      </c>
      <c r="H37" s="35" t="s">
        <v>213</v>
      </c>
    </row>
    <row r="38" spans="1:8" ht="12.5" customHeight="1" x14ac:dyDescent="0.45">
      <c r="A38" s="13" t="str">
        <f>B38&amp;C38</f>
        <v>RDX-CYS2699</v>
      </c>
      <c r="B38" s="13" t="s">
        <v>227</v>
      </c>
      <c r="C38" s="8" t="s">
        <v>45</v>
      </c>
      <c r="D38" s="4" t="s">
        <v>46</v>
      </c>
      <c r="E38" s="9" t="s">
        <v>85</v>
      </c>
      <c r="F38" s="16">
        <v>32000</v>
      </c>
      <c r="G38" s="16">
        <f>F38*1.07</f>
        <v>34240</v>
      </c>
      <c r="H38" s="35" t="s">
        <v>196</v>
      </c>
    </row>
    <row r="39" spans="1:8" ht="12.5" customHeight="1" x14ac:dyDescent="0.45">
      <c r="A39" s="13" t="str">
        <f>B39&amp;C39</f>
        <v>RDX-CYS5019</v>
      </c>
      <c r="B39" s="13" t="s">
        <v>227</v>
      </c>
      <c r="C39" s="8" t="s">
        <v>47</v>
      </c>
      <c r="D39" s="4" t="s">
        <v>48</v>
      </c>
      <c r="E39" s="9" t="s">
        <v>13</v>
      </c>
      <c r="F39" s="16">
        <v>19400</v>
      </c>
      <c r="G39" s="16">
        <f>F39*1.07</f>
        <v>20758</v>
      </c>
      <c r="H39" s="35" t="s">
        <v>196</v>
      </c>
    </row>
    <row r="40" spans="1:8" ht="12.5" customHeight="1" x14ac:dyDescent="0.45">
      <c r="A40" s="13" t="str">
        <f>B40&amp;C40</f>
        <v>RDX-CYS5020</v>
      </c>
      <c r="B40" s="13" t="s">
        <v>227</v>
      </c>
      <c r="C40" s="8" t="s">
        <v>49</v>
      </c>
      <c r="D40" s="4" t="s">
        <v>50</v>
      </c>
      <c r="E40" s="9" t="s">
        <v>13</v>
      </c>
      <c r="F40" s="16">
        <v>19400</v>
      </c>
      <c r="G40" s="16">
        <f>F40*1.07</f>
        <v>20758</v>
      </c>
      <c r="H40" s="35" t="s">
        <v>196</v>
      </c>
    </row>
    <row r="41" spans="1:8" ht="12.5" customHeight="1" x14ac:dyDescent="0.45">
      <c r="A41" s="13" t="str">
        <f>B41&amp;C41</f>
        <v>RDX-DA2703</v>
      </c>
      <c r="B41" s="13" t="s">
        <v>227</v>
      </c>
      <c r="C41" s="8" t="s">
        <v>51</v>
      </c>
      <c r="D41" s="4" t="s">
        <v>52</v>
      </c>
      <c r="E41" s="9" t="s">
        <v>53</v>
      </c>
      <c r="F41" s="16">
        <v>8900</v>
      </c>
      <c r="G41" s="16">
        <f>F41*1.07</f>
        <v>9523</v>
      </c>
      <c r="H41" s="35" t="s">
        <v>215</v>
      </c>
    </row>
    <row r="42" spans="1:8" ht="12.5" customHeight="1" x14ac:dyDescent="0.45">
      <c r="A42" s="13" t="str">
        <f>B42&amp;C42</f>
        <v>RDX-EA1366</v>
      </c>
      <c r="B42" s="13" t="s">
        <v>227</v>
      </c>
      <c r="C42" s="8" t="s">
        <v>54</v>
      </c>
      <c r="D42" s="4" t="s">
        <v>55</v>
      </c>
      <c r="E42" s="9" t="s">
        <v>56</v>
      </c>
      <c r="F42" s="16">
        <v>8900</v>
      </c>
      <c r="G42" s="16">
        <f>F42*1.07</f>
        <v>9523</v>
      </c>
      <c r="H42" s="35" t="s">
        <v>200</v>
      </c>
    </row>
    <row r="43" spans="1:8" ht="12.5" customHeight="1" x14ac:dyDescent="0.45">
      <c r="A43" s="13" t="str">
        <f>B43&amp;C43</f>
        <v>RDX-EA1367</v>
      </c>
      <c r="B43" s="13" t="s">
        <v>227</v>
      </c>
      <c r="C43" s="8" t="s">
        <v>57</v>
      </c>
      <c r="D43" s="4" t="s">
        <v>58</v>
      </c>
      <c r="E43" s="9" t="s">
        <v>56</v>
      </c>
      <c r="F43" s="16">
        <v>8900</v>
      </c>
      <c r="G43" s="16">
        <f>F43*1.07</f>
        <v>9523</v>
      </c>
      <c r="H43" s="35" t="s">
        <v>200</v>
      </c>
    </row>
    <row r="44" spans="1:8" ht="12.5" customHeight="1" x14ac:dyDescent="0.45">
      <c r="A44" s="13" t="str">
        <f>B44&amp;C44</f>
        <v>RDX-EA1368</v>
      </c>
      <c r="B44" s="13" t="s">
        <v>227</v>
      </c>
      <c r="C44" s="8" t="s">
        <v>59</v>
      </c>
      <c r="D44" s="4" t="s">
        <v>60</v>
      </c>
      <c r="E44" s="9" t="s">
        <v>56</v>
      </c>
      <c r="F44" s="16">
        <v>8900</v>
      </c>
      <c r="G44" s="16">
        <f>F44*1.07</f>
        <v>9523</v>
      </c>
      <c r="H44" s="35" t="s">
        <v>200</v>
      </c>
    </row>
    <row r="45" spans="1:8" ht="12.5" customHeight="1" x14ac:dyDescent="0.3">
      <c r="A45" s="13" t="str">
        <f>B45&amp;C45</f>
        <v>RDX-FR2993</v>
      </c>
      <c r="B45" s="13" t="s">
        <v>227</v>
      </c>
      <c r="C45" s="7" t="s">
        <v>163</v>
      </c>
      <c r="D45" s="5" t="s">
        <v>164</v>
      </c>
      <c r="E45" s="12" t="s">
        <v>8</v>
      </c>
      <c r="F45" s="17">
        <v>10800</v>
      </c>
      <c r="G45" s="16">
        <f>F45*1.07</f>
        <v>11556</v>
      </c>
      <c r="H45" s="35" t="s">
        <v>209</v>
      </c>
    </row>
    <row r="46" spans="1:8" ht="12.5" customHeight="1" x14ac:dyDescent="0.3">
      <c r="A46" s="13" t="str">
        <f>B46&amp;C46</f>
        <v>RDX-FR2994</v>
      </c>
      <c r="B46" s="13" t="s">
        <v>227</v>
      </c>
      <c r="C46" s="7" t="s">
        <v>165</v>
      </c>
      <c r="D46" s="5" t="s">
        <v>166</v>
      </c>
      <c r="E46" s="12" t="s">
        <v>8</v>
      </c>
      <c r="F46" s="17">
        <v>10800</v>
      </c>
      <c r="G46" s="16">
        <f>F46*1.07</f>
        <v>11556</v>
      </c>
      <c r="H46" s="35" t="s">
        <v>209</v>
      </c>
    </row>
    <row r="47" spans="1:8" ht="12.5" customHeight="1" x14ac:dyDescent="0.3">
      <c r="A47" s="13" t="str">
        <f>B47&amp;C47</f>
        <v>RDX-FR2996</v>
      </c>
      <c r="B47" s="13" t="s">
        <v>227</v>
      </c>
      <c r="C47" s="7" t="s">
        <v>167</v>
      </c>
      <c r="D47" s="5" t="s">
        <v>168</v>
      </c>
      <c r="E47" s="12" t="s">
        <v>8</v>
      </c>
      <c r="F47" s="17">
        <v>10800</v>
      </c>
      <c r="G47" s="16">
        <f>F47*1.07</f>
        <v>11556</v>
      </c>
      <c r="H47" s="35" t="s">
        <v>209</v>
      </c>
    </row>
    <row r="48" spans="1:8" ht="12.5" customHeight="1" x14ac:dyDescent="0.45">
      <c r="A48" s="13" t="str">
        <f>B48&amp;C48</f>
        <v>RDX-HA10155</v>
      </c>
      <c r="B48" s="13" t="s">
        <v>227</v>
      </c>
      <c r="C48" s="8" t="s">
        <v>61</v>
      </c>
      <c r="D48" s="4" t="s">
        <v>62</v>
      </c>
      <c r="E48" s="9" t="s">
        <v>67</v>
      </c>
      <c r="F48" s="16">
        <v>19800</v>
      </c>
      <c r="G48" s="16">
        <f>F48*1.07</f>
        <v>21186</v>
      </c>
      <c r="H48" s="35" t="s">
        <v>198</v>
      </c>
    </row>
    <row r="49" spans="1:8" ht="12.5" customHeight="1" x14ac:dyDescent="0.45">
      <c r="A49" s="13" t="str">
        <f>B49&amp;C49</f>
        <v>RDX-HA3444</v>
      </c>
      <c r="B49" s="13" t="s">
        <v>227</v>
      </c>
      <c r="C49" s="8" t="s">
        <v>63</v>
      </c>
      <c r="D49" s="4" t="s">
        <v>64</v>
      </c>
      <c r="E49" s="9" t="s">
        <v>229</v>
      </c>
      <c r="F49" s="16">
        <v>27800</v>
      </c>
      <c r="G49" s="16">
        <f>F49*1.07</f>
        <v>29746</v>
      </c>
      <c r="H49" s="35" t="s">
        <v>198</v>
      </c>
    </row>
    <row r="50" spans="1:8" ht="12.5" customHeight="1" x14ac:dyDescent="0.45">
      <c r="A50" s="13" t="str">
        <f>B50&amp;C50</f>
        <v>RDX-HA5072</v>
      </c>
      <c r="B50" s="13" t="s">
        <v>227</v>
      </c>
      <c r="C50" s="8" t="s">
        <v>65</v>
      </c>
      <c r="D50" s="4" t="s">
        <v>66</v>
      </c>
      <c r="E50" s="9" t="s">
        <v>67</v>
      </c>
      <c r="F50" s="16">
        <v>16800</v>
      </c>
      <c r="G50" s="16">
        <f>F50*1.07</f>
        <v>17976</v>
      </c>
      <c r="H50" s="35" t="s">
        <v>198</v>
      </c>
    </row>
    <row r="51" spans="1:8" ht="12.5" customHeight="1" x14ac:dyDescent="0.45">
      <c r="A51" s="13" t="str">
        <f>B51&amp;C51</f>
        <v>RDX-HE1532</v>
      </c>
      <c r="B51" s="13" t="s">
        <v>227</v>
      </c>
      <c r="C51" s="8" t="s">
        <v>4</v>
      </c>
      <c r="D51" s="4" t="s">
        <v>5</v>
      </c>
      <c r="E51" s="9" t="s">
        <v>3</v>
      </c>
      <c r="F51" s="16">
        <v>21000</v>
      </c>
      <c r="G51" s="16">
        <f>F51*1.07</f>
        <v>22470</v>
      </c>
      <c r="H51" s="35" t="s">
        <v>208</v>
      </c>
    </row>
    <row r="52" spans="1:8" ht="12.5" customHeight="1" x14ac:dyDescent="0.3">
      <c r="A52" s="13" t="str">
        <f>B52&amp;C52</f>
        <v>RDX-HE1532/SET</v>
      </c>
      <c r="B52" s="13" t="s">
        <v>227</v>
      </c>
      <c r="C52" s="11" t="s">
        <v>188</v>
      </c>
      <c r="D52" s="10" t="s">
        <v>189</v>
      </c>
      <c r="E52" s="12" t="s">
        <v>186</v>
      </c>
      <c r="F52" s="17">
        <v>6000</v>
      </c>
      <c r="G52" s="16">
        <f>F52*1.07</f>
        <v>6420</v>
      </c>
      <c r="H52" s="35" t="s">
        <v>208</v>
      </c>
    </row>
    <row r="53" spans="1:8" ht="12.5" customHeight="1" x14ac:dyDescent="0.45">
      <c r="A53" s="13" t="str">
        <f>B53&amp;C53</f>
        <v>RDX-HM5162</v>
      </c>
      <c r="B53" s="13" t="s">
        <v>227</v>
      </c>
      <c r="C53" s="8" t="s">
        <v>68</v>
      </c>
      <c r="D53" s="4" t="s">
        <v>69</v>
      </c>
      <c r="E53" s="9" t="s">
        <v>70</v>
      </c>
      <c r="F53" s="16">
        <v>10800</v>
      </c>
      <c r="G53" s="16">
        <f>F53*1.07</f>
        <v>11556</v>
      </c>
      <c r="H53" s="35" t="s">
        <v>198</v>
      </c>
    </row>
    <row r="54" spans="1:8" ht="12.5" customHeight="1" x14ac:dyDescent="0.45">
      <c r="A54" s="13" t="str">
        <f>B54&amp;C54</f>
        <v>RDX-HN1530</v>
      </c>
      <c r="B54" s="13" t="s">
        <v>227</v>
      </c>
      <c r="C54" s="8" t="s">
        <v>1</v>
      </c>
      <c r="D54" s="4" t="s">
        <v>2</v>
      </c>
      <c r="E54" s="9" t="s">
        <v>3</v>
      </c>
      <c r="F54" s="16">
        <v>21000</v>
      </c>
      <c r="G54" s="16">
        <f>F54*1.07</f>
        <v>22470</v>
      </c>
      <c r="H54" s="35" t="s">
        <v>208</v>
      </c>
    </row>
    <row r="55" spans="1:8" ht="12.5" customHeight="1" x14ac:dyDescent="0.3">
      <c r="A55" s="13" t="str">
        <f>B55&amp;C55</f>
        <v>RDX-HN1530/SET</v>
      </c>
      <c r="B55" s="13" t="s">
        <v>227</v>
      </c>
      <c r="C55" s="11" t="s">
        <v>190</v>
      </c>
      <c r="D55" s="10" t="s">
        <v>191</v>
      </c>
      <c r="E55" s="12" t="s">
        <v>186</v>
      </c>
      <c r="F55" s="17">
        <v>6000</v>
      </c>
      <c r="G55" s="16">
        <f>F55*1.07</f>
        <v>6420</v>
      </c>
      <c r="H55" s="35" t="s">
        <v>208</v>
      </c>
    </row>
    <row r="56" spans="1:8" ht="12.5" customHeight="1" x14ac:dyDescent="0.45">
      <c r="A56" s="13" t="str">
        <f>B56&amp;C56</f>
        <v>RDX-IA2633</v>
      </c>
      <c r="B56" s="13" t="s">
        <v>227</v>
      </c>
      <c r="C56" s="8" t="s">
        <v>71</v>
      </c>
      <c r="D56" s="4" t="s">
        <v>72</v>
      </c>
      <c r="E56" s="9" t="s">
        <v>73</v>
      </c>
      <c r="F56" s="16">
        <v>19800</v>
      </c>
      <c r="G56" s="16">
        <f>F56*1.07</f>
        <v>21186</v>
      </c>
      <c r="H56" s="35" t="s">
        <v>197</v>
      </c>
    </row>
    <row r="57" spans="1:8" ht="12.5" customHeight="1" x14ac:dyDescent="0.45">
      <c r="A57" s="13" t="str">
        <f>B57&amp;C57</f>
        <v>RDX-IA3109</v>
      </c>
      <c r="B57" s="13" t="s">
        <v>227</v>
      </c>
      <c r="C57" s="8" t="s">
        <v>75</v>
      </c>
      <c r="D57" s="4" t="s">
        <v>76</v>
      </c>
      <c r="E57" s="9" t="s">
        <v>74</v>
      </c>
      <c r="F57" s="16">
        <v>28800</v>
      </c>
      <c r="G57" s="16">
        <f>F57*1.07</f>
        <v>30816</v>
      </c>
      <c r="H57" s="35" t="s">
        <v>197</v>
      </c>
    </row>
    <row r="58" spans="1:8" ht="12.5" customHeight="1" x14ac:dyDescent="0.45">
      <c r="A58" s="13" t="str">
        <f>B58&amp;C58</f>
        <v>RDX-IA3110</v>
      </c>
      <c r="B58" s="13" t="s">
        <v>227</v>
      </c>
      <c r="C58" s="8" t="s">
        <v>77</v>
      </c>
      <c r="D58" s="4" t="s">
        <v>78</v>
      </c>
      <c r="E58" s="9" t="s">
        <v>74</v>
      </c>
      <c r="F58" s="16">
        <v>28800</v>
      </c>
      <c r="G58" s="16">
        <f>F58*1.07</f>
        <v>30816</v>
      </c>
      <c r="H58" s="35" t="s">
        <v>197</v>
      </c>
    </row>
    <row r="59" spans="1:8" ht="12.5" customHeight="1" x14ac:dyDescent="0.45">
      <c r="A59" s="13" t="str">
        <f>B59&amp;C59</f>
        <v>RDX-IA3111</v>
      </c>
      <c r="B59" s="13" t="s">
        <v>227</v>
      </c>
      <c r="C59" s="8" t="s">
        <v>79</v>
      </c>
      <c r="D59" s="4" t="s">
        <v>80</v>
      </c>
      <c r="E59" s="9" t="s">
        <v>74</v>
      </c>
      <c r="F59" s="16">
        <v>28800</v>
      </c>
      <c r="G59" s="16">
        <f>F59*1.07</f>
        <v>30816</v>
      </c>
      <c r="H59" s="35" t="s">
        <v>197</v>
      </c>
    </row>
    <row r="60" spans="1:8" ht="12.5" customHeight="1" x14ac:dyDescent="0.45">
      <c r="A60" s="13" t="str">
        <f>B60&amp;C60</f>
        <v>RDX-IA3112</v>
      </c>
      <c r="B60" s="13" t="s">
        <v>227</v>
      </c>
      <c r="C60" s="8" t="s">
        <v>81</v>
      </c>
      <c r="D60" s="4" t="s">
        <v>82</v>
      </c>
      <c r="E60" s="9" t="s">
        <v>74</v>
      </c>
      <c r="F60" s="16">
        <v>28800</v>
      </c>
      <c r="G60" s="16">
        <f>F60*1.07</f>
        <v>30816</v>
      </c>
      <c r="H60" s="35" t="s">
        <v>201</v>
      </c>
    </row>
    <row r="61" spans="1:8" ht="12.5" customHeight="1" x14ac:dyDescent="0.45">
      <c r="A61" s="13" t="str">
        <f>B61&amp;C61</f>
        <v>RDX-IAS3113</v>
      </c>
      <c r="B61" s="13" t="s">
        <v>227</v>
      </c>
      <c r="C61" s="8" t="s">
        <v>83</v>
      </c>
      <c r="D61" s="4" t="s">
        <v>84</v>
      </c>
      <c r="E61" s="9" t="s">
        <v>85</v>
      </c>
      <c r="F61" s="16">
        <v>12800</v>
      </c>
      <c r="G61" s="16">
        <f>F61*1.07</f>
        <v>13696</v>
      </c>
      <c r="H61" s="35" t="s">
        <v>197</v>
      </c>
    </row>
    <row r="62" spans="1:8" ht="12.5" customHeight="1" x14ac:dyDescent="0.45">
      <c r="A62" s="13" t="str">
        <f>B62&amp;C62</f>
        <v>RDX-IAS3114</v>
      </c>
      <c r="B62" s="13" t="s">
        <v>227</v>
      </c>
      <c r="C62" s="8" t="s">
        <v>86</v>
      </c>
      <c r="D62" s="4" t="s">
        <v>87</v>
      </c>
      <c r="E62" s="9" t="s">
        <v>85</v>
      </c>
      <c r="F62" s="16">
        <v>12800</v>
      </c>
      <c r="G62" s="16">
        <f>F62*1.07</f>
        <v>13696</v>
      </c>
      <c r="H62" s="35" t="s">
        <v>197</v>
      </c>
    </row>
    <row r="63" spans="1:8" ht="12.5" customHeight="1" x14ac:dyDescent="0.45">
      <c r="A63" s="13" t="str">
        <f>B63&amp;C63</f>
        <v>RDX-IAS3115</v>
      </c>
      <c r="B63" s="13" t="s">
        <v>227</v>
      </c>
      <c r="C63" s="8" t="s">
        <v>88</v>
      </c>
      <c r="D63" s="4" t="s">
        <v>89</v>
      </c>
      <c r="E63" s="9" t="s">
        <v>85</v>
      </c>
      <c r="F63" s="16">
        <v>12800</v>
      </c>
      <c r="G63" s="16">
        <f>F63*1.07</f>
        <v>13696</v>
      </c>
      <c r="H63" s="35" t="s">
        <v>197</v>
      </c>
    </row>
    <row r="64" spans="1:8" ht="12.5" customHeight="1" x14ac:dyDescent="0.3">
      <c r="A64" s="13" t="str">
        <f>B64&amp;C64</f>
        <v>RDX-IT2691</v>
      </c>
      <c r="B64" s="13" t="s">
        <v>227</v>
      </c>
      <c r="C64" s="7" t="s">
        <v>169</v>
      </c>
      <c r="D64" s="38" t="s">
        <v>219</v>
      </c>
      <c r="E64" s="12" t="s">
        <v>90</v>
      </c>
      <c r="F64" s="17">
        <v>44000</v>
      </c>
      <c r="G64" s="16">
        <f>F64*1.07</f>
        <v>47080</v>
      </c>
      <c r="H64" s="35" t="s">
        <v>203</v>
      </c>
    </row>
    <row r="65" spans="1:8" ht="12.5" customHeight="1" x14ac:dyDescent="0.3">
      <c r="A65" s="13" t="str">
        <f>B65&amp;C65</f>
        <v>RDX-IT2692</v>
      </c>
      <c r="B65" s="13" t="s">
        <v>227</v>
      </c>
      <c r="C65" s="7" t="s">
        <v>170</v>
      </c>
      <c r="D65" s="38" t="s">
        <v>220</v>
      </c>
      <c r="E65" s="12" t="s">
        <v>90</v>
      </c>
      <c r="F65" s="17">
        <v>38000</v>
      </c>
      <c r="G65" s="16">
        <f>F65*1.07</f>
        <v>40660</v>
      </c>
      <c r="H65" s="35" t="s">
        <v>203</v>
      </c>
    </row>
    <row r="66" spans="1:8" ht="12.5" customHeight="1" x14ac:dyDescent="0.45">
      <c r="A66" s="13" t="str">
        <f>B66&amp;C66</f>
        <v>RDX-LAE4215</v>
      </c>
      <c r="B66" s="13" t="s">
        <v>227</v>
      </c>
      <c r="C66" s="8" t="s">
        <v>91</v>
      </c>
      <c r="D66" s="37" t="s">
        <v>92</v>
      </c>
      <c r="E66" s="9" t="s">
        <v>74</v>
      </c>
      <c r="F66" s="16">
        <v>16800</v>
      </c>
      <c r="G66" s="16">
        <f>F66*1.07</f>
        <v>17976</v>
      </c>
      <c r="H66" s="35" t="s">
        <v>208</v>
      </c>
    </row>
    <row r="67" spans="1:8" ht="12.5" customHeight="1" x14ac:dyDescent="0.45">
      <c r="A67" s="13" t="str">
        <f>B67&amp;C67</f>
        <v>RDX-LAL4213</v>
      </c>
      <c r="B67" s="13" t="s">
        <v>227</v>
      </c>
      <c r="C67" s="8" t="s">
        <v>93</v>
      </c>
      <c r="D67" s="37" t="s">
        <v>94</v>
      </c>
      <c r="E67" s="9" t="s">
        <v>74</v>
      </c>
      <c r="F67" s="16">
        <v>16800</v>
      </c>
      <c r="G67" s="16">
        <f>F67*1.07</f>
        <v>17976</v>
      </c>
      <c r="H67" s="35" t="s">
        <v>208</v>
      </c>
    </row>
    <row r="68" spans="1:8" ht="12.5" customHeight="1" x14ac:dyDescent="0.45">
      <c r="A68" s="13" t="str">
        <f>B68&amp;C68</f>
        <v>RDX-LAN4214</v>
      </c>
      <c r="B68" s="13" t="s">
        <v>227</v>
      </c>
      <c r="C68" s="8" t="s">
        <v>95</v>
      </c>
      <c r="D68" s="37" t="s">
        <v>96</v>
      </c>
      <c r="E68" s="9" t="s">
        <v>74</v>
      </c>
      <c r="F68" s="16">
        <v>16800</v>
      </c>
      <c r="G68" s="16">
        <f>F68*1.07</f>
        <v>17976</v>
      </c>
      <c r="H68" s="35" t="s">
        <v>208</v>
      </c>
    </row>
    <row r="69" spans="1:8" ht="12.5" customHeight="1" x14ac:dyDescent="0.45">
      <c r="A69" s="13" t="str">
        <f>B69&amp;C69</f>
        <v>RDX-LE2662</v>
      </c>
      <c r="B69" s="13" t="s">
        <v>227</v>
      </c>
      <c r="C69" s="8" t="s">
        <v>98</v>
      </c>
      <c r="D69" s="4" t="s">
        <v>99</v>
      </c>
      <c r="E69" s="9" t="s">
        <v>97</v>
      </c>
      <c r="F69" s="16">
        <v>7400</v>
      </c>
      <c r="G69" s="16">
        <f>F69*1.07</f>
        <v>7918.0000000000009</v>
      </c>
      <c r="H69" s="35" t="s">
        <v>204</v>
      </c>
    </row>
    <row r="70" spans="1:8" ht="12.5" customHeight="1" x14ac:dyDescent="0.45">
      <c r="A70" s="13" t="str">
        <f>B70&amp;C70</f>
        <v>RDX-LE2663</v>
      </c>
      <c r="B70" s="13" t="s">
        <v>227</v>
      </c>
      <c r="C70" s="8" t="s">
        <v>100</v>
      </c>
      <c r="D70" s="4" t="s">
        <v>101</v>
      </c>
      <c r="E70" s="9" t="s">
        <v>97</v>
      </c>
      <c r="F70" s="16">
        <v>7400</v>
      </c>
      <c r="G70" s="16">
        <f>F70*1.07</f>
        <v>7918.0000000000009</v>
      </c>
      <c r="H70" s="35" t="s">
        <v>204</v>
      </c>
    </row>
    <row r="71" spans="1:8" ht="12.5" customHeight="1" x14ac:dyDescent="0.45">
      <c r="A71" s="13" t="str">
        <f>B71&amp;C71</f>
        <v>RDX-LE5013</v>
      </c>
      <c r="B71" s="13" t="s">
        <v>227</v>
      </c>
      <c r="C71" s="49" t="s">
        <v>249</v>
      </c>
      <c r="D71" s="50" t="s">
        <v>256</v>
      </c>
      <c r="E71" s="39" t="s">
        <v>110</v>
      </c>
      <c r="F71" s="51">
        <v>10000</v>
      </c>
      <c r="G71" s="16">
        <f>F71*1.07</f>
        <v>10700</v>
      </c>
      <c r="H71" s="48"/>
    </row>
    <row r="72" spans="1:8" ht="12.5" customHeight="1" x14ac:dyDescent="0.45">
      <c r="A72" s="13" t="str">
        <f>B72&amp;C72</f>
        <v>RDX-LE5014</v>
      </c>
      <c r="B72" s="13" t="s">
        <v>227</v>
      </c>
      <c r="C72" s="49" t="s">
        <v>250</v>
      </c>
      <c r="D72" s="50" t="s">
        <v>251</v>
      </c>
      <c r="E72" s="39" t="s">
        <v>110</v>
      </c>
      <c r="F72" s="51">
        <v>10000</v>
      </c>
      <c r="G72" s="16">
        <f>F72*1.07</f>
        <v>10700</v>
      </c>
      <c r="H72" s="48"/>
    </row>
    <row r="73" spans="1:8" ht="12.5" customHeight="1" x14ac:dyDescent="0.45">
      <c r="A73" s="13" t="str">
        <f>B73&amp;C73</f>
        <v>RDX-LE5015</v>
      </c>
      <c r="B73" s="13" t="s">
        <v>227</v>
      </c>
      <c r="C73" s="49" t="s">
        <v>252</v>
      </c>
      <c r="D73" s="50" t="s">
        <v>253</v>
      </c>
      <c r="E73" s="39" t="s">
        <v>110</v>
      </c>
      <c r="F73" s="51">
        <v>10000</v>
      </c>
      <c r="G73" s="16">
        <f>F73*1.07</f>
        <v>10700</v>
      </c>
      <c r="H73" s="48"/>
    </row>
    <row r="74" spans="1:8" ht="12.5" customHeight="1" x14ac:dyDescent="0.45">
      <c r="A74" s="13" t="str">
        <f>B74&amp;C74</f>
        <v>RDX-LUE5071</v>
      </c>
      <c r="B74" s="13" t="s">
        <v>227</v>
      </c>
      <c r="C74" s="8" t="s">
        <v>102</v>
      </c>
      <c r="D74" s="4" t="s">
        <v>103</v>
      </c>
      <c r="E74" s="9" t="s">
        <v>74</v>
      </c>
      <c r="F74" s="16">
        <v>14800</v>
      </c>
      <c r="G74" s="16">
        <f>F74*1.07</f>
        <v>15836.000000000002</v>
      </c>
      <c r="H74" s="35" t="s">
        <v>208</v>
      </c>
    </row>
    <row r="75" spans="1:8" ht="12.5" customHeight="1" x14ac:dyDescent="0.45">
      <c r="A75" s="13" t="str">
        <f>B75&amp;C75</f>
        <v>RDX-LUL5069</v>
      </c>
      <c r="B75" s="13" t="s">
        <v>227</v>
      </c>
      <c r="C75" s="8" t="s">
        <v>104</v>
      </c>
      <c r="D75" s="4" t="s">
        <v>105</v>
      </c>
      <c r="E75" s="9" t="s">
        <v>74</v>
      </c>
      <c r="F75" s="16">
        <v>14800</v>
      </c>
      <c r="G75" s="16">
        <f>F75*1.07</f>
        <v>15836.000000000002</v>
      </c>
      <c r="H75" s="35" t="s">
        <v>208</v>
      </c>
    </row>
    <row r="76" spans="1:8" ht="12.5" customHeight="1" x14ac:dyDescent="0.45">
      <c r="A76" s="13" t="str">
        <f>B76&amp;C76</f>
        <v>RDX-LUN5070</v>
      </c>
      <c r="B76" s="13" t="s">
        <v>227</v>
      </c>
      <c r="C76" s="8" t="s">
        <v>106</v>
      </c>
      <c r="D76" s="4" t="s">
        <v>107</v>
      </c>
      <c r="E76" s="9" t="s">
        <v>74</v>
      </c>
      <c r="F76" s="16">
        <v>14800</v>
      </c>
      <c r="G76" s="16">
        <f>F76*1.07</f>
        <v>15836.000000000002</v>
      </c>
      <c r="H76" s="35" t="s">
        <v>208</v>
      </c>
    </row>
    <row r="77" spans="1:8" ht="12.5" customHeight="1" x14ac:dyDescent="0.3">
      <c r="A77" s="13" t="str">
        <f>B77&amp;C77</f>
        <v>RDX-MA1567</v>
      </c>
      <c r="B77" s="13" t="s">
        <v>227</v>
      </c>
      <c r="C77" s="7" t="s">
        <v>171</v>
      </c>
      <c r="D77" s="5" t="s">
        <v>239</v>
      </c>
      <c r="E77" s="12" t="s">
        <v>56</v>
      </c>
      <c r="F77" s="17">
        <v>9800</v>
      </c>
      <c r="G77" s="16">
        <f>F77*1.07</f>
        <v>10486</v>
      </c>
      <c r="H77" s="35" t="s">
        <v>206</v>
      </c>
    </row>
    <row r="78" spans="1:8" ht="12.5" customHeight="1" x14ac:dyDescent="0.45">
      <c r="A78" s="13" t="str">
        <f>B78&amp;C78</f>
        <v>RDX-MSS5024</v>
      </c>
      <c r="B78" s="13" t="s">
        <v>227</v>
      </c>
      <c r="C78" s="8" t="s">
        <v>108</v>
      </c>
      <c r="D78" s="4" t="s">
        <v>109</v>
      </c>
      <c r="E78" s="9" t="s">
        <v>110</v>
      </c>
      <c r="F78" s="16">
        <v>6000</v>
      </c>
      <c r="G78" s="16">
        <f>F78*1.07</f>
        <v>6420</v>
      </c>
      <c r="H78" s="35" t="s">
        <v>202</v>
      </c>
    </row>
    <row r="79" spans="1:8" s="6" customFormat="1" ht="12.5" customHeight="1" x14ac:dyDescent="0.3">
      <c r="A79" s="13" t="str">
        <f>B79&amp;C79</f>
        <v>RDX-MSS5025</v>
      </c>
      <c r="B79" s="13" t="s">
        <v>227</v>
      </c>
      <c r="C79" s="8" t="s">
        <v>111</v>
      </c>
      <c r="D79" s="4" t="s">
        <v>112</v>
      </c>
      <c r="E79" s="9" t="s">
        <v>110</v>
      </c>
      <c r="F79" s="16">
        <v>6000</v>
      </c>
      <c r="G79" s="16">
        <f>F79*1.07</f>
        <v>6420</v>
      </c>
      <c r="H79" s="35" t="s">
        <v>202</v>
      </c>
    </row>
    <row r="80" spans="1:8" s="6" customFormat="1" ht="12.5" customHeight="1" x14ac:dyDescent="0.3">
      <c r="A80" s="13" t="str">
        <f>B80&amp;C80</f>
        <v>RDX-MSS5026</v>
      </c>
      <c r="B80" s="13" t="s">
        <v>227</v>
      </c>
      <c r="C80" s="8" t="s">
        <v>113</v>
      </c>
      <c r="D80" s="4" t="s">
        <v>114</v>
      </c>
      <c r="E80" s="9" t="s">
        <v>110</v>
      </c>
      <c r="F80" s="16">
        <v>6000</v>
      </c>
      <c r="G80" s="16">
        <f>F80*1.07</f>
        <v>6420</v>
      </c>
      <c r="H80" s="35" t="s">
        <v>202</v>
      </c>
    </row>
    <row r="81" spans="1:8" s="6" customFormat="1" ht="12.5" customHeight="1" x14ac:dyDescent="0.3">
      <c r="A81" s="13" t="str">
        <f>B81&amp;C81</f>
        <v>RDX-NX2331</v>
      </c>
      <c r="B81" s="13" t="s">
        <v>227</v>
      </c>
      <c r="C81" s="7" t="s">
        <v>172</v>
      </c>
      <c r="D81" s="5" t="s">
        <v>173</v>
      </c>
      <c r="E81" s="12" t="s">
        <v>152</v>
      </c>
      <c r="F81" s="17">
        <v>14000</v>
      </c>
      <c r="G81" s="16">
        <f>F81*1.07</f>
        <v>14980</v>
      </c>
      <c r="H81" s="35" t="s">
        <v>214</v>
      </c>
    </row>
    <row r="82" spans="1:8" s="6" customFormat="1" ht="12.5" customHeight="1" x14ac:dyDescent="0.3">
      <c r="A82" s="13" t="str">
        <f>B82&amp;C82</f>
        <v>RDX-PD2617</v>
      </c>
      <c r="B82" s="13" t="s">
        <v>227</v>
      </c>
      <c r="C82" s="7" t="s">
        <v>174</v>
      </c>
      <c r="D82" s="5" t="s">
        <v>175</v>
      </c>
      <c r="E82" s="12" t="s">
        <v>176</v>
      </c>
      <c r="F82" s="17">
        <v>7200</v>
      </c>
      <c r="G82" s="16">
        <f>F82*1.07</f>
        <v>7704</v>
      </c>
      <c r="H82" s="35" t="s">
        <v>209</v>
      </c>
    </row>
    <row r="83" spans="1:8" s="6" customFormat="1" ht="12.5" customHeight="1" x14ac:dyDescent="0.3">
      <c r="A83" s="13" t="str">
        <f>B83&amp;C83</f>
        <v>RDX-PD2618</v>
      </c>
      <c r="B83" s="13" t="s">
        <v>227</v>
      </c>
      <c r="C83" s="7" t="s">
        <v>177</v>
      </c>
      <c r="D83" s="5" t="s">
        <v>178</v>
      </c>
      <c r="E83" s="12" t="s">
        <v>176</v>
      </c>
      <c r="F83" s="17">
        <v>7200</v>
      </c>
      <c r="G83" s="16">
        <f>F83*1.07</f>
        <v>7704</v>
      </c>
      <c r="H83" s="35" t="s">
        <v>209</v>
      </c>
    </row>
    <row r="84" spans="1:8" s="6" customFormat="1" ht="12.5" customHeight="1" x14ac:dyDescent="0.3">
      <c r="A84" s="13" t="str">
        <f>B84&amp;C84</f>
        <v>RDX-PS2682</v>
      </c>
      <c r="B84" s="13" t="s">
        <v>227</v>
      </c>
      <c r="C84" s="8" t="s">
        <v>115</v>
      </c>
      <c r="D84" s="4" t="s">
        <v>116</v>
      </c>
      <c r="E84" s="9" t="s">
        <v>8</v>
      </c>
      <c r="F84" s="16">
        <v>11400</v>
      </c>
      <c r="G84" s="16">
        <f>F84*1.07</f>
        <v>12198</v>
      </c>
      <c r="H84" s="35" t="s">
        <v>203</v>
      </c>
    </row>
    <row r="85" spans="1:8" s="6" customFormat="1" ht="12.5" customHeight="1" x14ac:dyDescent="0.3">
      <c r="A85" s="13" t="str">
        <f>B85&amp;C85</f>
        <v>RDX-PS2683</v>
      </c>
      <c r="B85" s="13" t="s">
        <v>227</v>
      </c>
      <c r="C85" s="8" t="s">
        <v>117</v>
      </c>
      <c r="D85" s="4" t="s">
        <v>118</v>
      </c>
      <c r="E85" s="9" t="s">
        <v>8</v>
      </c>
      <c r="F85" s="16">
        <v>11400</v>
      </c>
      <c r="G85" s="16">
        <f>F85*1.07</f>
        <v>12198</v>
      </c>
      <c r="H85" s="35" t="s">
        <v>203</v>
      </c>
    </row>
    <row r="86" spans="1:8" s="6" customFormat="1" ht="12.5" customHeight="1" x14ac:dyDescent="0.3">
      <c r="A86" s="13" t="str">
        <f>B86&amp;C86</f>
        <v>RDX-PS2684</v>
      </c>
      <c r="B86" s="13" t="s">
        <v>227</v>
      </c>
      <c r="C86" s="8" t="s">
        <v>119</v>
      </c>
      <c r="D86" s="4" t="s">
        <v>120</v>
      </c>
      <c r="E86" s="9" t="s">
        <v>8</v>
      </c>
      <c r="F86" s="16">
        <v>11400</v>
      </c>
      <c r="G86" s="16">
        <f>F86*1.07</f>
        <v>12198</v>
      </c>
      <c r="H86" s="35" t="s">
        <v>203</v>
      </c>
    </row>
    <row r="87" spans="1:8" s="6" customFormat="1" ht="12.5" customHeight="1" x14ac:dyDescent="0.3">
      <c r="A87" s="13" t="str">
        <f>B87&amp;C87</f>
        <v>RDX-PTH10110</v>
      </c>
      <c r="B87" s="13" t="s">
        <v>227</v>
      </c>
      <c r="C87" s="8" t="s">
        <v>121</v>
      </c>
      <c r="D87" s="4" t="s">
        <v>122</v>
      </c>
      <c r="E87" s="9" t="s">
        <v>42</v>
      </c>
      <c r="F87" s="16">
        <v>5400</v>
      </c>
      <c r="G87" s="16">
        <f>F87*1.07</f>
        <v>5778</v>
      </c>
      <c r="H87" s="35" t="s">
        <v>202</v>
      </c>
    </row>
    <row r="88" spans="1:8" s="6" customFormat="1" ht="12.5" customHeight="1" x14ac:dyDescent="0.3">
      <c r="A88" s="13" t="str">
        <f>B88&amp;C88</f>
        <v>RDX-PTH10111</v>
      </c>
      <c r="B88" s="13" t="s">
        <v>227</v>
      </c>
      <c r="C88" s="8" t="s">
        <v>123</v>
      </c>
      <c r="D88" s="4" t="s">
        <v>124</v>
      </c>
      <c r="E88" s="9" t="s">
        <v>42</v>
      </c>
      <c r="F88" s="16">
        <v>5400</v>
      </c>
      <c r="G88" s="16">
        <f>F88*1.07</f>
        <v>5778</v>
      </c>
      <c r="H88" s="35" t="s">
        <v>202</v>
      </c>
    </row>
    <row r="89" spans="1:8" s="6" customFormat="1" ht="12.5" customHeight="1" x14ac:dyDescent="0.3">
      <c r="A89" s="13" t="str">
        <f>B89&amp;C89</f>
        <v>RDX-PTH10112</v>
      </c>
      <c r="B89" s="13" t="s">
        <v>227</v>
      </c>
      <c r="C89" s="8" t="s">
        <v>125</v>
      </c>
      <c r="D89" s="4" t="s">
        <v>126</v>
      </c>
      <c r="E89" s="9" t="s">
        <v>42</v>
      </c>
      <c r="F89" s="16">
        <v>5400</v>
      </c>
      <c r="G89" s="16">
        <f>F89*1.07</f>
        <v>5778</v>
      </c>
      <c r="H89" s="35" t="s">
        <v>202</v>
      </c>
    </row>
    <row r="90" spans="1:8" s="6" customFormat="1" ht="12.5" customHeight="1" x14ac:dyDescent="0.3">
      <c r="A90" s="13" t="str">
        <f>B90&amp;C90</f>
        <v>RDX-SC10154</v>
      </c>
      <c r="B90" s="13" t="s">
        <v>227</v>
      </c>
      <c r="C90" s="7" t="s">
        <v>179</v>
      </c>
      <c r="D90" s="5" t="s">
        <v>180</v>
      </c>
      <c r="E90" s="12" t="s">
        <v>159</v>
      </c>
      <c r="F90" s="17">
        <v>13800</v>
      </c>
      <c r="G90" s="16">
        <f>F90*1.07</f>
        <v>14766</v>
      </c>
      <c r="H90" s="35" t="s">
        <v>209</v>
      </c>
    </row>
    <row r="91" spans="1:8" s="6" customFormat="1" ht="12.5" customHeight="1" x14ac:dyDescent="0.3">
      <c r="A91" s="13" t="str">
        <f>B91&amp;C91</f>
        <v>RDX-SC692</v>
      </c>
      <c r="B91" s="13" t="s">
        <v>227</v>
      </c>
      <c r="C91" s="7" t="s">
        <v>181</v>
      </c>
      <c r="D91" s="5" t="s">
        <v>182</v>
      </c>
      <c r="E91" s="12" t="s">
        <v>159</v>
      </c>
      <c r="F91" s="17">
        <v>11800</v>
      </c>
      <c r="G91" s="16">
        <f>F91*1.07</f>
        <v>12626</v>
      </c>
      <c r="H91" s="35" t="s">
        <v>209</v>
      </c>
    </row>
    <row r="92" spans="1:8" s="6" customFormat="1" ht="12.5" customHeight="1" x14ac:dyDescent="0.3">
      <c r="A92" s="13" t="str">
        <f>B92&amp;C92</f>
        <v>RDX-SD126</v>
      </c>
      <c r="B92" s="13" t="s">
        <v>227</v>
      </c>
      <c r="C92" s="7" t="s">
        <v>183</v>
      </c>
      <c r="D92" s="5" t="s">
        <v>184</v>
      </c>
      <c r="E92" s="12" t="s">
        <v>159</v>
      </c>
      <c r="F92" s="17">
        <v>11800</v>
      </c>
      <c r="G92" s="16">
        <f>F92*1.07</f>
        <v>12626</v>
      </c>
      <c r="H92" s="35" t="s">
        <v>209</v>
      </c>
    </row>
    <row r="93" spans="1:8" s="6" customFormat="1" ht="12.5" customHeight="1" x14ac:dyDescent="0.3">
      <c r="A93" s="13" t="str">
        <f>B93&amp;C93</f>
        <v>RDX-SI10448</v>
      </c>
      <c r="B93" s="13" t="s">
        <v>227</v>
      </c>
      <c r="C93" s="8" t="s">
        <v>127</v>
      </c>
      <c r="D93" s="4" t="s">
        <v>128</v>
      </c>
      <c r="E93" s="9" t="s">
        <v>226</v>
      </c>
      <c r="F93" s="16">
        <v>12400</v>
      </c>
      <c r="G93" s="16">
        <f>F93*1.07</f>
        <v>13268</v>
      </c>
      <c r="H93" s="35" t="s">
        <v>206</v>
      </c>
    </row>
    <row r="94" spans="1:8" s="6" customFormat="1" ht="12.5" customHeight="1" x14ac:dyDescent="0.3">
      <c r="A94" s="13" t="str">
        <f>B94&amp;C94</f>
        <v>RDX-SR10351</v>
      </c>
      <c r="B94" s="13" t="s">
        <v>227</v>
      </c>
      <c r="C94" s="8" t="s">
        <v>131</v>
      </c>
      <c r="D94" s="4" t="s">
        <v>132</v>
      </c>
      <c r="E94" s="9" t="s">
        <v>129</v>
      </c>
      <c r="F94" s="16">
        <v>29800</v>
      </c>
      <c r="G94" s="16">
        <f>F94*1.07</f>
        <v>31886.000000000004</v>
      </c>
      <c r="H94" s="35" t="s">
        <v>194</v>
      </c>
    </row>
    <row r="95" spans="1:8" s="6" customFormat="1" ht="12.5" customHeight="1" x14ac:dyDescent="0.3">
      <c r="A95" s="13" t="str">
        <f>B95&amp;C95</f>
        <v>RDX-SR10352</v>
      </c>
      <c r="B95" s="13" t="s">
        <v>227</v>
      </c>
      <c r="C95" s="8" t="s">
        <v>133</v>
      </c>
      <c r="D95" s="4" t="s">
        <v>134</v>
      </c>
      <c r="E95" s="9" t="s">
        <v>130</v>
      </c>
      <c r="F95" s="16">
        <v>32800</v>
      </c>
      <c r="G95" s="16">
        <f>F95*1.07</f>
        <v>35096</v>
      </c>
      <c r="H95" s="35" t="s">
        <v>194</v>
      </c>
    </row>
    <row r="96" spans="1:8" s="6" customFormat="1" ht="12.5" customHeight="1" x14ac:dyDescent="0.3">
      <c r="A96" s="13" t="str">
        <f>B96&amp;C96</f>
        <v>RDX-SR10353</v>
      </c>
      <c r="B96" s="13" t="s">
        <v>227</v>
      </c>
      <c r="C96" s="8" t="s">
        <v>135</v>
      </c>
      <c r="D96" s="4" t="s">
        <v>136</v>
      </c>
      <c r="E96" s="9" t="s">
        <v>130</v>
      </c>
      <c r="F96" s="16">
        <v>32800</v>
      </c>
      <c r="G96" s="16">
        <f>F96*1.07</f>
        <v>35096</v>
      </c>
      <c r="H96" s="35" t="s">
        <v>194</v>
      </c>
    </row>
    <row r="97" spans="1:8" s="6" customFormat="1" ht="12.5" customHeight="1" x14ac:dyDescent="0.3">
      <c r="A97" s="13" t="str">
        <f>B97&amp;C97</f>
        <v>RDX-SR10354</v>
      </c>
      <c r="B97" s="13" t="s">
        <v>227</v>
      </c>
      <c r="C97" s="8" t="s">
        <v>137</v>
      </c>
      <c r="D97" s="4" t="s">
        <v>138</v>
      </c>
      <c r="E97" s="9" t="s">
        <v>130</v>
      </c>
      <c r="F97" s="16">
        <v>48800</v>
      </c>
      <c r="G97" s="16">
        <f>F97*1.07</f>
        <v>52216</v>
      </c>
      <c r="H97" s="35" t="s">
        <v>194</v>
      </c>
    </row>
    <row r="98" spans="1:8" x14ac:dyDescent="0.45">
      <c r="A98" s="13" t="str">
        <f>B98&amp;C98</f>
        <v>RDX-TU5002</v>
      </c>
      <c r="B98" s="13" t="s">
        <v>227</v>
      </c>
      <c r="C98" s="8" t="s">
        <v>139</v>
      </c>
      <c r="D98" s="4" t="s">
        <v>140</v>
      </c>
      <c r="E98" s="9" t="s">
        <v>13</v>
      </c>
      <c r="F98" s="16">
        <v>32000</v>
      </c>
      <c r="G98" s="16">
        <f>F98*1.07</f>
        <v>34240</v>
      </c>
      <c r="H98" s="35" t="s">
        <v>212</v>
      </c>
    </row>
    <row r="99" spans="1:8" x14ac:dyDescent="0.45">
      <c r="A99" s="13" t="str">
        <f>B99&amp;C99</f>
        <v>RDX-TU5003</v>
      </c>
      <c r="B99" s="13" t="s">
        <v>227</v>
      </c>
      <c r="C99" s="8" t="s">
        <v>141</v>
      </c>
      <c r="D99" s="4" t="s">
        <v>142</v>
      </c>
      <c r="E99" s="9" t="s">
        <v>13</v>
      </c>
      <c r="F99" s="16">
        <v>32000</v>
      </c>
      <c r="G99" s="16">
        <f>F99*1.07</f>
        <v>34240</v>
      </c>
      <c r="H99" s="35" t="s">
        <v>212</v>
      </c>
    </row>
    <row r="100" spans="1:8" x14ac:dyDescent="0.45">
      <c r="A100" s="13" t="str">
        <f>B100&amp;C100</f>
        <v>RDX-UC5033</v>
      </c>
      <c r="B100" s="13" t="s">
        <v>227</v>
      </c>
      <c r="C100" s="8" t="s">
        <v>143</v>
      </c>
      <c r="D100" s="4" t="s">
        <v>144</v>
      </c>
      <c r="E100" s="9" t="s">
        <v>145</v>
      </c>
      <c r="F100" s="16">
        <v>34000</v>
      </c>
      <c r="G100" s="16">
        <f>F100*1.07</f>
        <v>36380</v>
      </c>
      <c r="H100" s="35" t="s">
        <v>205</v>
      </c>
    </row>
    <row r="101" spans="1:8" x14ac:dyDescent="0.45">
      <c r="A101" s="13" t="str">
        <f>B101&amp;C101</f>
        <v>RDX-UC5034</v>
      </c>
      <c r="B101" s="13" t="s">
        <v>227</v>
      </c>
      <c r="C101" s="8" t="s">
        <v>146</v>
      </c>
      <c r="D101" s="4" t="s">
        <v>147</v>
      </c>
      <c r="E101" s="9" t="s">
        <v>145</v>
      </c>
      <c r="F101" s="16">
        <v>34000</v>
      </c>
      <c r="G101" s="16">
        <f>F101*1.07</f>
        <v>36380</v>
      </c>
      <c r="H101" s="35" t="s">
        <v>205</v>
      </c>
    </row>
    <row r="102" spans="1:8" x14ac:dyDescent="0.45">
      <c r="A102" s="13" t="str">
        <f>B102&amp;C102</f>
        <v>RDX-UC5074</v>
      </c>
      <c r="B102" s="13" t="s">
        <v>227</v>
      </c>
      <c r="C102" s="8" t="s">
        <v>148</v>
      </c>
      <c r="D102" s="4" t="s">
        <v>149</v>
      </c>
      <c r="E102" s="9" t="s">
        <v>150</v>
      </c>
      <c r="F102" s="16">
        <v>10800</v>
      </c>
      <c r="G102" s="16">
        <f>F102*1.07</f>
        <v>11556</v>
      </c>
      <c r="H102" s="35" t="s">
        <v>207</v>
      </c>
    </row>
  </sheetData>
  <sortState xmlns:xlrd2="http://schemas.microsoft.com/office/spreadsheetml/2017/richdata2" ref="A8:H102">
    <sortCondition ref="C8:C102"/>
  </sortState>
  <mergeCells count="3">
    <mergeCell ref="A2:H2"/>
    <mergeCell ref="H5:H6"/>
    <mergeCell ref="D5:D6"/>
  </mergeCells>
  <phoneticPr fontId="9" type="noConversion"/>
  <pageMargins left="0.43307086614173229" right="0.23622047244094491" top="0.43307086614173229" bottom="0.47244094488188981" header="0.31496062992125984" footer="0.15748031496062992"/>
  <pageSetup paperSize="9" orientation="portrait" r:id="rId1"/>
  <headerFooter alignWithMargins="0">
    <oddFooter>Prepared by Jeeranan Saen-atit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QC </vt:lpstr>
      <vt:lpstr>'QC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Jeeranan Saen-atit</dc:creator>
  <cp:lastModifiedBy>Kunyarat</cp:lastModifiedBy>
  <cp:lastPrinted>2025-08-20T09:13:06Z</cp:lastPrinted>
  <dcterms:created xsi:type="dcterms:W3CDTF">2025-07-11T03:47:23Z</dcterms:created>
  <dcterms:modified xsi:type="dcterms:W3CDTF">2026-03-17T10:19:13Z</dcterms:modified>
</cp:coreProperties>
</file>