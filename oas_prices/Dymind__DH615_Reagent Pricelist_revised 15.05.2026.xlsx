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ymind_Calculation Worksheet\DH615x2_DH76x2_รพ.ซีเมดลีฟวิ่งแคร์ จ.ปทุมธานี_14.05.2026\"/>
    </mc:Choice>
  </mc:AlternateContent>
  <xr:revisionPtr revIDLastSave="0" documentId="13_ncr:1_{38A6E8F6-A057-4F38-8612-437279C92E04}" xr6:coauthVersionLast="47" xr6:coauthVersionMax="47" xr10:uidLastSave="{00000000-0000-0000-0000-000000000000}"/>
  <bookViews>
    <workbookView xWindow="-110" yWindow="-110" windowWidth="19420" windowHeight="10300" xr2:uid="{D323A2EA-A275-450E-903B-787A8E51FC26}"/>
  </bookViews>
  <sheets>
    <sheet name="DH615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4" l="1"/>
  <c r="H16" i="4"/>
  <c r="G16" i="4"/>
  <c r="I16" i="4" s="1"/>
  <c r="G15" i="4"/>
  <c r="I15" i="4" s="1"/>
  <c r="F27" i="4" l="1"/>
  <c r="F29" i="4"/>
  <c r="F28" i="4"/>
  <c r="F22" i="4"/>
  <c r="H9" i="4"/>
  <c r="G9" i="4"/>
  <c r="H8" i="4"/>
  <c r="G8" i="4"/>
  <c r="H7" i="4"/>
  <c r="G7" i="4"/>
  <c r="H6" i="4"/>
  <c r="G6" i="4"/>
  <c r="I8" i="4" l="1"/>
  <c r="I7" i="4"/>
  <c r="I9" i="4"/>
  <c r="I6" i="4"/>
  <c r="I17" i="4" l="1"/>
  <c r="I10" i="4"/>
</calcChain>
</file>

<file path=xl/sharedStrings.xml><?xml version="1.0" encoding="utf-8"?>
<sst xmlns="http://schemas.openxmlformats.org/spreadsheetml/2006/main" count="82" uniqueCount="49">
  <si>
    <t>No.</t>
  </si>
  <si>
    <t>Product No.</t>
  </si>
  <si>
    <t>Description</t>
  </si>
  <si>
    <t>Packing Size</t>
  </si>
  <si>
    <t>Usage</t>
  </si>
  <si>
    <t>Price/Box</t>
  </si>
  <si>
    <t>No. Test/</t>
  </si>
  <si>
    <t>Cost/Test</t>
  </si>
  <si>
    <t>Litre / Box</t>
  </si>
  <si>
    <t>ml./cycle</t>
  </si>
  <si>
    <t>w/o VAT</t>
  </si>
  <si>
    <t>w/VAT</t>
  </si>
  <si>
    <t>Box</t>
  </si>
  <si>
    <t>Baht</t>
  </si>
  <si>
    <t xml:space="preserve">CBC+DIFF  </t>
  </si>
  <si>
    <t>500 mL</t>
  </si>
  <si>
    <t>Cleansing Solution</t>
  </si>
  <si>
    <t>Calibrator &amp; Control</t>
  </si>
  <si>
    <t>1 Vial</t>
  </si>
  <si>
    <t>1 set</t>
  </si>
  <si>
    <t xml:space="preserve">Dymind DH615 Reagent Cost Analysis Pricelist </t>
  </si>
  <si>
    <t>DYM-12.01.1065A</t>
  </si>
  <si>
    <t>DIL-N Hematology Analyzer Diluent - 20L</t>
  </si>
  <si>
    <t>DYM-12.01.1078A</t>
  </si>
  <si>
    <t>LYN-G Hematology Analyzer Lyse - 500mL</t>
  </si>
  <si>
    <t>DYM-12.01.1080A</t>
  </si>
  <si>
    <t>LYN-D Hematology Analyzer Lyse - 1L</t>
  </si>
  <si>
    <t>DYM-12.01.1075A</t>
  </si>
  <si>
    <t>FDN-D Hematology Analyzer Dye - 42mL</t>
  </si>
  <si>
    <t>42 mL</t>
  </si>
  <si>
    <t>RETICULOCYTE</t>
  </si>
  <si>
    <t>DYM-12.01.1280A</t>
  </si>
  <si>
    <t>DM-CAL-5E Hematology Calibrator - 3mL</t>
  </si>
  <si>
    <t>DYM-12.01.1076A</t>
  </si>
  <si>
    <t>CLE-P Cleanser - 4mL (10 x 4mL)</t>
  </si>
  <si>
    <t>Packing</t>
  </si>
  <si>
    <t>10 x 4mL</t>
  </si>
  <si>
    <t>DYM-12.01.1311A</t>
  </si>
  <si>
    <t>DM-6D Hematology Control - 3mL(H)x1 + 3mL(N)x1 + 3mL(L)x1</t>
  </si>
  <si>
    <t>DYM-12.01.1558A</t>
  </si>
  <si>
    <t>DM-RET Hematology Control - 3mL(H)x1 + 3mL(N)x1 + 3mL(L)x1</t>
  </si>
  <si>
    <t>DYM-12.01.1068A</t>
  </si>
  <si>
    <t>DIN-R Hematology Analyzer Diluent - 500mL</t>
  </si>
  <si>
    <t>DYM-12.01.1071A</t>
  </si>
  <si>
    <t>FDN-R Hematology Analyzer Dye - 12mL</t>
  </si>
  <si>
    <t>12 mL</t>
  </si>
  <si>
    <t>หมายเหตุ :  ราคาอาจเปลี่ยนแปลงได้ตามความเหมาะสม</t>
  </si>
  <si>
    <t>Approved by: ………………………………………</t>
  </si>
  <si>
    <t>Effective : May 15,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</si>
</sst>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_(* #,##0.000_);_(* \(#,##0.000\);_(* &quot;-&quot;??_);_(@_)"/>
    <numFmt numFmtId="168" formatCode="_-* #,##0_-;\-* #,##0_-;_-* &quot;-&quot;??_-;_-@_-"/>
  </numFmts>
  <fonts count="1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24"/>
      <name val="AngsanaUPC"/>
      <family val="1"/>
    </font>
    <font>
      <b/>
      <sz val="18"/>
      <name val="AngsanaUPC"/>
      <family val="1"/>
    </font>
    <font>
      <b/>
      <sz val="25"/>
      <name val="AngsanaUPC"/>
      <family val="1"/>
    </font>
    <font>
      <b/>
      <sz val="28"/>
      <name val="AngsanaUPC"/>
      <family val="1"/>
    </font>
    <font>
      <sz val="14"/>
      <name val="Microsoft Sans Serif"/>
      <family val="2"/>
    </font>
    <font>
      <b/>
      <sz val="16"/>
      <name val="AngsanaUPC"/>
      <family val="1"/>
    </font>
    <font>
      <b/>
      <sz val="20"/>
      <name val="AngsanaUPC"/>
      <family val="1"/>
      <charset val="222"/>
    </font>
    <font>
      <sz val="16"/>
      <name val="AngsanaUPC"/>
      <family val="1"/>
    </font>
    <font>
      <sz val="18"/>
      <name val="AngsanaUPC"/>
      <family val="1"/>
    </font>
    <font>
      <b/>
      <sz val="20"/>
      <name val="AngsanaUPC"/>
      <family val="1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4" fillId="0" borderId="0" xfId="0" applyFont="1"/>
    <xf numFmtId="43" fontId="4" fillId="0" borderId="0" xfId="1" applyFont="1" applyBorder="1" applyAlignment="1">
      <alignment horizontal="centerContinuous"/>
    </xf>
    <xf numFmtId="165" fontId="5" fillId="0" borderId="0" xfId="1" applyNumberFormat="1" applyFont="1" applyAlignment="1"/>
    <xf numFmtId="43" fontId="5" fillId="0" borderId="0" xfId="1" applyFont="1" applyAlignment="1"/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43" fontId="7" fillId="0" borderId="7" xfId="1" applyFont="1" applyFill="1" applyBorder="1" applyAlignment="1">
      <alignment horizontal="center"/>
    </xf>
    <xf numFmtId="165" fontId="7" fillId="0" borderId="7" xfId="1" applyNumberFormat="1" applyFont="1" applyFill="1" applyBorder="1" applyAlignment="1">
      <alignment horizontal="center"/>
    </xf>
    <xf numFmtId="43" fontId="7" fillId="0" borderId="8" xfId="1" applyFont="1" applyFill="1" applyBorder="1" applyAlignment="1">
      <alignment horizontal="center"/>
    </xf>
    <xf numFmtId="0" fontId="7" fillId="0" borderId="0" xfId="0" applyFont="1"/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43" fontId="7" fillId="0" borderId="13" xfId="1" applyFont="1" applyFill="1" applyBorder="1" applyAlignment="1">
      <alignment horizontal="center"/>
    </xf>
    <xf numFmtId="165" fontId="7" fillId="0" borderId="13" xfId="1" applyNumberFormat="1" applyFont="1" applyFill="1" applyBorder="1" applyAlignment="1">
      <alignment horizontal="center"/>
    </xf>
    <xf numFmtId="43" fontId="7" fillId="0" borderId="14" xfId="1" applyFont="1" applyFill="1" applyBorder="1" applyAlignment="1">
      <alignment horizontal="center"/>
    </xf>
    <xf numFmtId="0" fontId="9" fillId="0" borderId="0" xfId="0" applyFont="1"/>
    <xf numFmtId="0" fontId="9" fillId="0" borderId="16" xfId="0" applyFont="1" applyBorder="1" applyAlignment="1">
      <alignment horizontal="centerContinuous"/>
    </xf>
    <xf numFmtId="0" fontId="9" fillId="0" borderId="17" xfId="0" applyFont="1" applyBorder="1" applyAlignment="1">
      <alignment horizontal="centerContinuous"/>
    </xf>
    <xf numFmtId="0" fontId="9" fillId="0" borderId="17" xfId="0" applyFont="1" applyBorder="1" applyAlignment="1">
      <alignment horizontal="left"/>
    </xf>
    <xf numFmtId="165" fontId="9" fillId="0" borderId="17" xfId="1" applyNumberFormat="1" applyFont="1" applyBorder="1" applyAlignment="1">
      <alignment horizontal="right"/>
    </xf>
    <xf numFmtId="165" fontId="9" fillId="0" borderId="17" xfId="1" applyNumberFormat="1" applyFont="1" applyBorder="1"/>
    <xf numFmtId="43" fontId="9" fillId="0" borderId="18" xfId="1" applyFont="1" applyBorder="1"/>
    <xf numFmtId="0" fontId="9" fillId="0" borderId="19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9" xfId="0" applyFont="1" applyBorder="1" applyAlignment="1">
      <alignment horizontal="left"/>
    </xf>
    <xf numFmtId="166" fontId="9" fillId="0" borderId="9" xfId="1" applyNumberFormat="1" applyFont="1" applyBorder="1" applyAlignment="1">
      <alignment horizontal="right"/>
    </xf>
    <xf numFmtId="165" fontId="9" fillId="0" borderId="9" xfId="1" applyNumberFormat="1" applyFont="1" applyBorder="1"/>
    <xf numFmtId="43" fontId="9" fillId="0" borderId="20" xfId="1" applyFont="1" applyBorder="1"/>
    <xf numFmtId="0" fontId="9" fillId="0" borderId="2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9" fillId="0" borderId="22" xfId="0" applyFont="1" applyBorder="1" applyAlignment="1">
      <alignment horizontal="centerContinuous"/>
    </xf>
    <xf numFmtId="0" fontId="9" fillId="0" borderId="23" xfId="0" applyFont="1" applyBorder="1" applyAlignment="1">
      <alignment horizontal="center" wrapText="1"/>
    </xf>
    <xf numFmtId="0" fontId="9" fillId="0" borderId="23" xfId="0" applyFont="1" applyBorder="1" applyAlignment="1">
      <alignment horizontal="left"/>
    </xf>
    <xf numFmtId="165" fontId="9" fillId="0" borderId="23" xfId="1" applyNumberFormat="1" applyFont="1" applyBorder="1" applyAlignment="1">
      <alignment horizontal="right"/>
    </xf>
    <xf numFmtId="165" fontId="9" fillId="0" borderId="12" xfId="1" applyNumberFormat="1" applyFont="1" applyBorder="1"/>
    <xf numFmtId="43" fontId="9" fillId="0" borderId="24" xfId="1" applyFont="1" applyBorder="1"/>
    <xf numFmtId="0" fontId="9" fillId="0" borderId="0" xfId="0" applyFont="1" applyAlignment="1">
      <alignment horizontal="centerContinuous"/>
    </xf>
    <xf numFmtId="167" fontId="9" fillId="0" borderId="0" xfId="1" applyNumberFormat="1" applyFont="1" applyBorder="1" applyAlignment="1">
      <alignment horizontal="right"/>
    </xf>
    <xf numFmtId="165" fontId="9" fillId="0" borderId="0" xfId="1" applyNumberFormat="1" applyFont="1" applyBorder="1"/>
    <xf numFmtId="43" fontId="7" fillId="2" borderId="25" xfId="1" applyFont="1" applyFill="1" applyBorder="1"/>
    <xf numFmtId="43" fontId="7" fillId="0" borderId="0" xfId="1" applyFont="1" applyBorder="1"/>
    <xf numFmtId="0" fontId="8" fillId="0" borderId="0" xfId="0" applyFont="1" applyAlignment="1">
      <alignment horizontal="center"/>
    </xf>
    <xf numFmtId="0" fontId="7" fillId="0" borderId="26" xfId="0" applyFont="1" applyBorder="1" applyAlignment="1">
      <alignment horizontal="centerContinuous"/>
    </xf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Continuous"/>
    </xf>
    <xf numFmtId="0" fontId="7" fillId="0" borderId="27" xfId="0" applyFont="1" applyBorder="1"/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Continuous"/>
    </xf>
    <xf numFmtId="43" fontId="7" fillId="0" borderId="0" xfId="1" applyFont="1"/>
    <xf numFmtId="0" fontId="7" fillId="0" borderId="29" xfId="0" applyFont="1" applyBorder="1" applyAlignment="1">
      <alignment horizontal="centerContinuous"/>
    </xf>
    <xf numFmtId="0" fontId="7" fillId="0" borderId="29" xfId="0" applyFont="1" applyBorder="1"/>
    <xf numFmtId="0" fontId="9" fillId="0" borderId="16" xfId="0" applyFont="1" applyBorder="1" applyAlignment="1">
      <alignment horizontal="center"/>
    </xf>
    <xf numFmtId="167" fontId="9" fillId="0" borderId="17" xfId="1" applyNumberFormat="1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10" fillId="0" borderId="0" xfId="0" applyFont="1"/>
    <xf numFmtId="43" fontId="10" fillId="0" borderId="0" xfId="1" applyFont="1"/>
    <xf numFmtId="43" fontId="3" fillId="0" borderId="0" xfId="1" applyFont="1"/>
    <xf numFmtId="43" fontId="7" fillId="2" borderId="0" xfId="1" applyFont="1" applyFill="1" applyBorder="1"/>
    <xf numFmtId="0" fontId="9" fillId="0" borderId="12" xfId="0" applyFont="1" applyBorder="1" applyAlignment="1">
      <alignment horizontal="left"/>
    </xf>
    <xf numFmtId="167" fontId="9" fillId="0" borderId="12" xfId="1" applyNumberFormat="1" applyFont="1" applyBorder="1" applyAlignment="1">
      <alignment horizontal="center"/>
    </xf>
    <xf numFmtId="0" fontId="9" fillId="0" borderId="9" xfId="0" applyFont="1" applyBorder="1" applyAlignment="1">
      <alignment horizontal="centerContinuous"/>
    </xf>
    <xf numFmtId="167" fontId="9" fillId="0" borderId="9" xfId="1" applyNumberFormat="1" applyFont="1" applyBorder="1" applyAlignment="1">
      <alignment horizontal="center"/>
    </xf>
    <xf numFmtId="43" fontId="7" fillId="2" borderId="31" xfId="1" applyFont="1" applyFill="1" applyBorder="1"/>
    <xf numFmtId="0" fontId="9" fillId="0" borderId="23" xfId="0" applyFont="1" applyBorder="1" applyAlignment="1">
      <alignment horizontal="center"/>
    </xf>
    <xf numFmtId="165" fontId="9" fillId="0" borderId="23" xfId="1" applyNumberFormat="1" applyFont="1" applyBorder="1"/>
    <xf numFmtId="43" fontId="9" fillId="0" borderId="28" xfId="1" applyFont="1" applyBorder="1"/>
    <xf numFmtId="165" fontId="9" fillId="0" borderId="9" xfId="1" applyNumberFormat="1" applyFont="1" applyBorder="1" applyAlignment="1">
      <alignment horizontal="right"/>
    </xf>
    <xf numFmtId="165" fontId="9" fillId="0" borderId="17" xfId="1" applyNumberFormat="1" applyFont="1" applyFill="1" applyBorder="1"/>
    <xf numFmtId="165" fontId="9" fillId="0" borderId="9" xfId="1" applyNumberFormat="1" applyFont="1" applyFill="1" applyBorder="1"/>
    <xf numFmtId="165" fontId="9" fillId="0" borderId="12" xfId="1" applyNumberFormat="1" applyFont="1" applyFill="1" applyBorder="1"/>
    <xf numFmtId="165" fontId="9" fillId="0" borderId="23" xfId="1" applyNumberFormat="1" applyFont="1" applyFill="1" applyBorder="1"/>
    <xf numFmtId="165" fontId="5" fillId="0" borderId="0" xfId="1" applyNumberFormat="1" applyFont="1" applyFill="1" applyBorder="1" applyAlignment="1">
      <alignment horizontal="centerContinuous"/>
    </xf>
    <xf numFmtId="165" fontId="9" fillId="0" borderId="15" xfId="1" applyNumberFormat="1" applyFont="1" applyFill="1" applyBorder="1"/>
    <xf numFmtId="165" fontId="9" fillId="0" borderId="0" xfId="1" applyNumberFormat="1" applyFont="1" applyFill="1" applyBorder="1"/>
    <xf numFmtId="0" fontId="11" fillId="0" borderId="0" xfId="0" applyFont="1" applyAlignment="1">
      <alignment horizontal="center"/>
    </xf>
    <xf numFmtId="165" fontId="9" fillId="0" borderId="0" xfId="1" applyNumberFormat="1" applyFont="1" applyFill="1"/>
    <xf numFmtId="165" fontId="10" fillId="0" borderId="0" xfId="1" applyNumberFormat="1" applyFont="1" applyFill="1"/>
    <xf numFmtId="43" fontId="7" fillId="0" borderId="26" xfId="1" applyFont="1" applyFill="1" applyBorder="1" applyAlignment="1">
      <alignment horizontal="centerContinuous"/>
    </xf>
    <xf numFmtId="165" fontId="7" fillId="0" borderId="27" xfId="1" applyNumberFormat="1" applyFont="1" applyFill="1" applyBorder="1" applyAlignment="1">
      <alignment horizontal="centerContinuous"/>
    </xf>
    <xf numFmtId="165" fontId="7" fillId="0" borderId="29" xfId="1" applyNumberFormat="1" applyFont="1" applyFill="1" applyBorder="1" applyAlignment="1">
      <alignment horizontal="centerContinuous"/>
    </xf>
    <xf numFmtId="0" fontId="5" fillId="0" borderId="0" xfId="0" applyFont="1" applyAlignment="1">
      <alignment horizontal="centerContinuous"/>
    </xf>
    <xf numFmtId="43" fontId="5" fillId="0" borderId="0" xfId="1" applyFont="1" applyFill="1" applyBorder="1" applyAlignment="1">
      <alignment horizontal="centerContinuous"/>
    </xf>
    <xf numFmtId="0" fontId="7" fillId="0" borderId="7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43" fontId="9" fillId="0" borderId="17" xfId="1" applyFont="1" applyFill="1" applyBorder="1" applyAlignment="1">
      <alignment horizontal="right"/>
    </xf>
    <xf numFmtId="164" fontId="9" fillId="0" borderId="10" xfId="0" applyNumberFormat="1" applyFont="1" applyBorder="1"/>
    <xf numFmtId="164" fontId="9" fillId="0" borderId="23" xfId="0" applyNumberFormat="1" applyFont="1" applyBorder="1" applyAlignment="1">
      <alignment horizontal="right"/>
    </xf>
    <xf numFmtId="0" fontId="9" fillId="0" borderId="0" xfId="0" applyFont="1" applyAlignment="1">
      <alignment horizontal="right"/>
    </xf>
    <xf numFmtId="43" fontId="9" fillId="0" borderId="0" xfId="1" applyFont="1" applyFill="1" applyBorder="1"/>
    <xf numFmtId="164" fontId="9" fillId="0" borderId="23" xfId="0" applyNumberFormat="1" applyFont="1" applyBorder="1"/>
    <xf numFmtId="43" fontId="7" fillId="0" borderId="8" xfId="1" applyFont="1" applyFill="1" applyBorder="1" applyAlignment="1">
      <alignment horizontal="centerContinuous"/>
    </xf>
    <xf numFmtId="165" fontId="7" fillId="0" borderId="14" xfId="1" applyNumberFormat="1" applyFont="1" applyFill="1" applyBorder="1" applyAlignment="1">
      <alignment horizontal="centerContinuous"/>
    </xf>
    <xf numFmtId="165" fontId="7" fillId="0" borderId="30" xfId="1" applyNumberFormat="1" applyFont="1" applyFill="1" applyBorder="1" applyAlignment="1">
      <alignment horizontal="centerContinuous"/>
    </xf>
    <xf numFmtId="165" fontId="9" fillId="0" borderId="18" xfId="1" applyNumberFormat="1" applyFont="1" applyFill="1" applyBorder="1"/>
    <xf numFmtId="165" fontId="9" fillId="0" borderId="20" xfId="1" applyNumberFormat="1" applyFont="1" applyFill="1" applyBorder="1"/>
    <xf numFmtId="165" fontId="9" fillId="0" borderId="24" xfId="1" applyNumberFormat="1" applyFont="1" applyFill="1" applyBorder="1"/>
    <xf numFmtId="165" fontId="3" fillId="0" borderId="0" xfId="1" applyNumberFormat="1" applyFont="1" applyFill="1"/>
    <xf numFmtId="43" fontId="10" fillId="0" borderId="0" xfId="1" applyFont="1" applyFill="1"/>
    <xf numFmtId="0" fontId="9" fillId="0" borderId="32" xfId="0" applyFont="1" applyBorder="1" applyAlignment="1">
      <alignment horizontal="center"/>
    </xf>
    <xf numFmtId="0" fontId="9" fillId="0" borderId="33" xfId="0" applyFont="1" applyBorder="1" applyAlignment="1">
      <alignment horizontal="centerContinuous"/>
    </xf>
    <xf numFmtId="0" fontId="9" fillId="0" borderId="33" xfId="0" applyFont="1" applyBorder="1" applyAlignment="1">
      <alignment horizontal="left"/>
    </xf>
    <xf numFmtId="165" fontId="9" fillId="0" borderId="33" xfId="1" applyNumberFormat="1" applyFont="1" applyFill="1" applyBorder="1"/>
    <xf numFmtId="165" fontId="9" fillId="0" borderId="34" xfId="1" applyNumberFormat="1" applyFont="1" applyFill="1" applyBorder="1"/>
    <xf numFmtId="168" fontId="9" fillId="0" borderId="15" xfId="1" applyNumberFormat="1" applyFont="1" applyFill="1" applyBorder="1"/>
    <xf numFmtId="167" fontId="9" fillId="0" borderId="33" xfId="1" applyNumberFormat="1" applyFont="1" applyBorder="1" applyAlignment="1">
      <alignment horizontal="center"/>
    </xf>
    <xf numFmtId="164" fontId="10" fillId="0" borderId="0" xfId="2" applyFont="1"/>
    <xf numFmtId="165" fontId="3" fillId="0" borderId="0" xfId="2" applyNumberFormat="1" applyFont="1"/>
    <xf numFmtId="165" fontId="10" fillId="0" borderId="0" xfId="2" applyNumberFormat="1" applyFont="1"/>
    <xf numFmtId="164" fontId="3" fillId="0" borderId="0" xfId="2" applyFont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37" fontId="3" fillId="0" borderId="0" xfId="0" applyNumberFormat="1" applyFont="1"/>
    <xf numFmtId="164" fontId="14" fillId="0" borderId="0" xfId="2" applyFont="1" applyAlignment="1">
      <alignment horizontal="left" vertical="center"/>
    </xf>
    <xf numFmtId="166" fontId="9" fillId="0" borderId="17" xfId="1" applyNumberFormat="1" applyFont="1" applyBorder="1" applyAlignment="1">
      <alignment horizontal="right"/>
    </xf>
    <xf numFmtId="43" fontId="9" fillId="0" borderId="17" xfId="1" applyFont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43" fontId="2" fillId="0" borderId="1" xfId="1" applyFont="1" applyFill="1" applyBorder="1" applyAlignment="1">
      <alignment horizontal="center" vertical="center"/>
    </xf>
    <xf numFmtId="43" fontId="2" fillId="0" borderId="2" xfId="1" applyFont="1" applyFill="1" applyBorder="1" applyAlignment="1">
      <alignment horizontal="center" vertical="center"/>
    </xf>
    <xf numFmtId="43" fontId="2" fillId="0" borderId="3" xfId="1" applyFont="1" applyFill="1" applyBorder="1" applyAlignment="1">
      <alignment horizontal="center" vertical="center"/>
    </xf>
  </cellXfs>
  <cellStyles count="3">
    <cellStyle name="Comma" xfId="1" builtinId="3"/>
    <cellStyle name="Comma 3" xfId="2" xr:uid="{61E20C37-8BB7-4756-92CD-577FE1C49AF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5EC2-8AFD-4F19-91F7-A72230F626C3}">
  <sheetPr>
    <pageSetUpPr fitToPage="1"/>
  </sheetPr>
  <dimension ref="A1:I35"/>
  <sheetViews>
    <sheetView tabSelected="1" zoomScale="76" zoomScaleNormal="76" workbookViewId="0">
      <selection activeCell="C36" sqref="C36"/>
    </sheetView>
  </sheetViews>
  <sheetFormatPr defaultColWidth="12.81640625" defaultRowHeight="26"/>
  <cols>
    <col min="1" max="1" width="4" style="58" customWidth="1"/>
    <col min="2" max="2" width="17.90625" style="58" customWidth="1"/>
    <col min="3" max="3" width="56.54296875" style="1" customWidth="1"/>
    <col min="4" max="4" width="12.81640625" style="59"/>
    <col min="5" max="5" width="10.1796875" style="100" customWidth="1"/>
    <col min="6" max="6" width="9.6328125" style="101" customWidth="1"/>
    <col min="7" max="7" width="10.7265625" style="80" customWidth="1"/>
    <col min="8" max="8" width="9.54296875" style="1" customWidth="1"/>
    <col min="9" max="9" width="10.453125" style="60" customWidth="1"/>
    <col min="10" max="16384" width="12.81640625" style="58"/>
  </cols>
  <sheetData>
    <row r="1" spans="1:9" s="1" customFormat="1" ht="35" thickBot="1">
      <c r="A1" s="122" t="s">
        <v>20</v>
      </c>
      <c r="B1" s="123"/>
      <c r="C1" s="123"/>
      <c r="D1" s="123"/>
      <c r="E1" s="123"/>
      <c r="F1" s="123"/>
      <c r="G1" s="123"/>
      <c r="H1" s="123"/>
      <c r="I1" s="124"/>
    </row>
    <row r="2" spans="1:9" s="1" customFormat="1" ht="30" customHeight="1" thickBot="1">
      <c r="C2" s="2"/>
      <c r="D2" s="3"/>
      <c r="E2" s="84"/>
      <c r="F2" s="85"/>
      <c r="G2" s="75"/>
      <c r="H2" s="4"/>
      <c r="I2" s="5"/>
    </row>
    <row r="3" spans="1:9" s="12" customFormat="1" ht="23">
      <c r="A3" s="6" t="s">
        <v>0</v>
      </c>
      <c r="B3" s="7" t="s">
        <v>1</v>
      </c>
      <c r="C3" s="8" t="s">
        <v>2</v>
      </c>
      <c r="D3" s="9" t="s">
        <v>3</v>
      </c>
      <c r="E3" s="86" t="s">
        <v>4</v>
      </c>
      <c r="F3" s="9" t="s">
        <v>5</v>
      </c>
      <c r="G3" s="10" t="s">
        <v>5</v>
      </c>
      <c r="H3" s="10" t="s">
        <v>6</v>
      </c>
      <c r="I3" s="11" t="s">
        <v>7</v>
      </c>
    </row>
    <row r="4" spans="1:9" s="12" customFormat="1" ht="23.5" thickBot="1">
      <c r="A4" s="13"/>
      <c r="B4" s="14"/>
      <c r="C4" s="14"/>
      <c r="D4" s="15" t="s">
        <v>8</v>
      </c>
      <c r="E4" s="87" t="s">
        <v>9</v>
      </c>
      <c r="F4" s="15" t="s">
        <v>10</v>
      </c>
      <c r="G4" s="16" t="s">
        <v>11</v>
      </c>
      <c r="H4" s="16" t="s">
        <v>12</v>
      </c>
      <c r="I4" s="17" t="s">
        <v>13</v>
      </c>
    </row>
    <row r="5" spans="1:9" s="18" customFormat="1" ht="29.5" thickBot="1">
      <c r="A5" s="119" t="s">
        <v>14</v>
      </c>
      <c r="B5" s="120"/>
      <c r="C5" s="120"/>
      <c r="D5" s="120"/>
      <c r="E5" s="120"/>
      <c r="F5" s="120"/>
      <c r="G5" s="120"/>
      <c r="H5" s="120"/>
      <c r="I5" s="121"/>
    </row>
    <row r="6" spans="1:9" s="18" customFormat="1" ht="23">
      <c r="A6" s="19">
        <v>1</v>
      </c>
      <c r="B6" s="20" t="s">
        <v>21</v>
      </c>
      <c r="C6" s="21" t="s">
        <v>22</v>
      </c>
      <c r="D6" s="22">
        <v>20</v>
      </c>
      <c r="E6" s="88">
        <v>49.95</v>
      </c>
      <c r="F6" s="71">
        <v>2000</v>
      </c>
      <c r="G6" s="71">
        <f>F6*1.07</f>
        <v>2140</v>
      </c>
      <c r="H6" s="23">
        <f>(D6*1000)/E6</f>
        <v>400.40040040040037</v>
      </c>
      <c r="I6" s="24">
        <f>G6/H6</f>
        <v>5.3446500000000006</v>
      </c>
    </row>
    <row r="7" spans="1:9" s="18" customFormat="1" ht="23">
      <c r="A7" s="25">
        <v>2</v>
      </c>
      <c r="B7" s="26" t="s">
        <v>23</v>
      </c>
      <c r="C7" s="27" t="s">
        <v>24</v>
      </c>
      <c r="D7" s="28" t="s">
        <v>15</v>
      </c>
      <c r="E7" s="89">
        <v>0.5554</v>
      </c>
      <c r="F7" s="72">
        <v>4700</v>
      </c>
      <c r="G7" s="107">
        <f>F7*1.07</f>
        <v>5029</v>
      </c>
      <c r="H7" s="29">
        <f>500/E7</f>
        <v>900.25207057976229</v>
      </c>
      <c r="I7" s="30">
        <f>G7/H7</f>
        <v>5.5862132000000004</v>
      </c>
    </row>
    <row r="8" spans="1:9" s="18" customFormat="1" ht="23">
      <c r="A8" s="31">
        <v>3</v>
      </c>
      <c r="B8" s="32" t="s">
        <v>25</v>
      </c>
      <c r="C8" s="33" t="s">
        <v>26</v>
      </c>
      <c r="D8" s="70">
        <v>1</v>
      </c>
      <c r="E8" s="89">
        <v>1.6679999999999999</v>
      </c>
      <c r="F8" s="72">
        <v>4700</v>
      </c>
      <c r="G8" s="76">
        <f>F8*1.07</f>
        <v>5029</v>
      </c>
      <c r="H8" s="29">
        <f>(D8*1000)/E8</f>
        <v>599.52038369304557</v>
      </c>
      <c r="I8" s="30">
        <f>G8/H8</f>
        <v>8.3883720000000004</v>
      </c>
    </row>
    <row r="9" spans="1:9" s="18" customFormat="1" ht="23.5" thickBot="1">
      <c r="A9" s="34">
        <v>4</v>
      </c>
      <c r="B9" s="35" t="s">
        <v>27</v>
      </c>
      <c r="C9" s="36" t="s">
        <v>28</v>
      </c>
      <c r="D9" s="37" t="s">
        <v>29</v>
      </c>
      <c r="E9" s="90">
        <v>2.2100000000000002E-2</v>
      </c>
      <c r="F9" s="73">
        <v>12000</v>
      </c>
      <c r="G9" s="73">
        <f>F9*1.07</f>
        <v>12840</v>
      </c>
      <c r="H9" s="38">
        <f>(42/E9)</f>
        <v>1900.4524886877828</v>
      </c>
      <c r="I9" s="39">
        <f>G9/H9</f>
        <v>6.7562857142857142</v>
      </c>
    </row>
    <row r="10" spans="1:9" s="18" customFormat="1" ht="23.5" thickBot="1">
      <c r="A10" s="40"/>
      <c r="B10" s="40"/>
      <c r="C10" s="40"/>
      <c r="D10" s="41"/>
      <c r="E10" s="91"/>
      <c r="F10" s="92"/>
      <c r="G10" s="77"/>
      <c r="H10" s="42"/>
      <c r="I10" s="43">
        <f>SUM(I6:I9)</f>
        <v>26.075520914285715</v>
      </c>
    </row>
    <row r="11" spans="1:9" s="18" customFormat="1" ht="24" thickTop="1" thickBot="1">
      <c r="A11" s="40"/>
      <c r="B11" s="40"/>
      <c r="C11" s="40"/>
      <c r="D11" s="41"/>
      <c r="E11" s="91"/>
      <c r="F11" s="92"/>
      <c r="G11" s="77"/>
      <c r="H11" s="42"/>
      <c r="I11" s="61"/>
    </row>
    <row r="12" spans="1:9" s="12" customFormat="1" ht="23">
      <c r="A12" s="6" t="s">
        <v>0</v>
      </c>
      <c r="B12" s="7" t="s">
        <v>1</v>
      </c>
      <c r="C12" s="8" t="s">
        <v>2</v>
      </c>
      <c r="D12" s="9" t="s">
        <v>3</v>
      </c>
      <c r="E12" s="86" t="s">
        <v>4</v>
      </c>
      <c r="F12" s="9" t="s">
        <v>5</v>
      </c>
      <c r="G12" s="10" t="s">
        <v>5</v>
      </c>
      <c r="H12" s="10" t="s">
        <v>6</v>
      </c>
      <c r="I12" s="11" t="s">
        <v>7</v>
      </c>
    </row>
    <row r="13" spans="1:9" s="12" customFormat="1" ht="23.5" thickBot="1">
      <c r="A13" s="13"/>
      <c r="B13" s="14"/>
      <c r="C13" s="14"/>
      <c r="D13" s="15" t="s">
        <v>8</v>
      </c>
      <c r="E13" s="87" t="s">
        <v>9</v>
      </c>
      <c r="F13" s="15" t="s">
        <v>10</v>
      </c>
      <c r="G13" s="16" t="s">
        <v>11</v>
      </c>
      <c r="H13" s="16" t="s">
        <v>12</v>
      </c>
      <c r="I13" s="17" t="s">
        <v>13</v>
      </c>
    </row>
    <row r="14" spans="1:9" s="18" customFormat="1" ht="29.5" thickBot="1">
      <c r="A14" s="119" t="s">
        <v>30</v>
      </c>
      <c r="B14" s="120"/>
      <c r="C14" s="120"/>
      <c r="D14" s="120"/>
      <c r="E14" s="120"/>
      <c r="F14" s="120"/>
      <c r="G14" s="120"/>
      <c r="H14" s="120"/>
      <c r="I14" s="121"/>
    </row>
    <row r="15" spans="1:9" s="18" customFormat="1" ht="23">
      <c r="A15" s="19">
        <v>1</v>
      </c>
      <c r="B15" s="20" t="s">
        <v>41</v>
      </c>
      <c r="C15" s="21" t="s">
        <v>42</v>
      </c>
      <c r="D15" s="117" t="s">
        <v>15</v>
      </c>
      <c r="E15" s="118">
        <v>1.665</v>
      </c>
      <c r="F15" s="71">
        <v>1600</v>
      </c>
      <c r="G15" s="71">
        <f>F15*1.07</f>
        <v>1712</v>
      </c>
      <c r="H15" s="23">
        <f>500/E15</f>
        <v>300.30030030030031</v>
      </c>
      <c r="I15" s="24">
        <f>G15/H15</f>
        <v>5.7009600000000002</v>
      </c>
    </row>
    <row r="16" spans="1:9" s="18" customFormat="1" ht="23.5" thickBot="1">
      <c r="A16" s="57">
        <v>2</v>
      </c>
      <c r="B16" s="67" t="s">
        <v>43</v>
      </c>
      <c r="C16" s="36" t="s">
        <v>44</v>
      </c>
      <c r="D16" s="37" t="s">
        <v>45</v>
      </c>
      <c r="E16" s="93">
        <v>2.18E-2</v>
      </c>
      <c r="F16" s="74">
        <v>12500</v>
      </c>
      <c r="G16" s="73">
        <f>F16*1.07</f>
        <v>13375</v>
      </c>
      <c r="H16" s="68">
        <f>12/E16</f>
        <v>550.45871559633031</v>
      </c>
      <c r="I16" s="69">
        <f>G16/H16</f>
        <v>24.297916666666666</v>
      </c>
    </row>
    <row r="17" spans="1:9" s="18" customFormat="1" ht="23.5" thickBot="1">
      <c r="A17" s="40"/>
      <c r="B17" s="40"/>
      <c r="C17" s="40"/>
      <c r="D17" s="41"/>
      <c r="E17" s="91"/>
      <c r="F17" s="92"/>
      <c r="G17" s="77"/>
      <c r="H17" s="42"/>
      <c r="I17" s="66">
        <f>SUM(I15:I16)</f>
        <v>29.998876666666668</v>
      </c>
    </row>
    <row r="18" spans="1:9" s="18" customFormat="1" ht="23.5" customHeight="1" thickTop="1" thickBot="1">
      <c r="A18" s="40"/>
      <c r="B18" s="40"/>
      <c r="C18" s="40"/>
      <c r="D18" s="41"/>
      <c r="E18" s="91"/>
      <c r="F18" s="92"/>
      <c r="G18" s="77"/>
      <c r="H18" s="42"/>
      <c r="I18" s="44"/>
    </row>
    <row r="19" spans="1:9" s="18" customFormat="1" ht="29.5" thickBot="1">
      <c r="A19" s="119" t="s">
        <v>16</v>
      </c>
      <c r="B19" s="120"/>
      <c r="C19" s="120"/>
      <c r="D19" s="120"/>
      <c r="E19" s="120"/>
      <c r="F19" s="121"/>
      <c r="G19" s="78"/>
      <c r="H19" s="45"/>
      <c r="I19" s="45"/>
    </row>
    <row r="20" spans="1:9" s="12" customFormat="1" ht="23">
      <c r="A20" s="46" t="s">
        <v>0</v>
      </c>
      <c r="B20" s="47" t="s">
        <v>1</v>
      </c>
      <c r="C20" s="46" t="s">
        <v>2</v>
      </c>
      <c r="D20" s="47" t="s">
        <v>35</v>
      </c>
      <c r="E20" s="81" t="s">
        <v>5</v>
      </c>
      <c r="F20" s="94" t="s">
        <v>5</v>
      </c>
    </row>
    <row r="21" spans="1:9" s="12" customFormat="1" ht="23.5" thickBot="1">
      <c r="A21" s="48"/>
      <c r="B21" s="49"/>
      <c r="C21" s="48"/>
      <c r="D21" s="49"/>
      <c r="E21" s="82" t="s">
        <v>10</v>
      </c>
      <c r="F21" s="95" t="s">
        <v>11</v>
      </c>
    </row>
    <row r="22" spans="1:9" s="18" customFormat="1" ht="23.5" thickBot="1">
      <c r="A22" s="102">
        <v>1</v>
      </c>
      <c r="B22" s="103" t="s">
        <v>33</v>
      </c>
      <c r="C22" s="104" t="s">
        <v>34</v>
      </c>
      <c r="D22" s="108" t="s">
        <v>36</v>
      </c>
      <c r="E22" s="105">
        <v>1000</v>
      </c>
      <c r="F22" s="106">
        <f>E22*1.07</f>
        <v>1070</v>
      </c>
      <c r="G22" s="79"/>
      <c r="H22" s="12"/>
      <c r="I22" s="52"/>
    </row>
    <row r="23" spans="1:9" s="18" customFormat="1" ht="23.5" thickBot="1">
      <c r="A23" s="40"/>
      <c r="B23" s="40"/>
      <c r="C23" s="40"/>
      <c r="D23" s="41"/>
      <c r="E23" s="91"/>
      <c r="F23" s="92"/>
      <c r="G23" s="77"/>
      <c r="H23" s="42"/>
      <c r="I23" s="44"/>
    </row>
    <row r="24" spans="1:9" s="18" customFormat="1" ht="29.5" thickBot="1">
      <c r="A24" s="119" t="s">
        <v>17</v>
      </c>
      <c r="B24" s="120"/>
      <c r="C24" s="120"/>
      <c r="D24" s="120"/>
      <c r="E24" s="120"/>
      <c r="F24" s="121"/>
      <c r="G24" s="78"/>
      <c r="H24" s="45"/>
      <c r="I24" s="45"/>
    </row>
    <row r="25" spans="1:9" s="12" customFormat="1" ht="23">
      <c r="A25" s="46" t="s">
        <v>0</v>
      </c>
      <c r="B25" s="47" t="s">
        <v>1</v>
      </c>
      <c r="C25" s="46" t="s">
        <v>2</v>
      </c>
      <c r="D25" s="47" t="s">
        <v>35</v>
      </c>
      <c r="E25" s="81" t="s">
        <v>5</v>
      </c>
      <c r="F25" s="94" t="s">
        <v>5</v>
      </c>
    </row>
    <row r="26" spans="1:9" s="12" customFormat="1" ht="23.5" thickBot="1">
      <c r="A26" s="53"/>
      <c r="B26" s="54"/>
      <c r="C26" s="53"/>
      <c r="D26" s="54"/>
      <c r="E26" s="83" t="s">
        <v>10</v>
      </c>
      <c r="F26" s="96" t="s">
        <v>11</v>
      </c>
    </row>
    <row r="27" spans="1:9" s="12" customFormat="1" ht="23">
      <c r="A27" s="55">
        <v>1</v>
      </c>
      <c r="B27" s="20" t="s">
        <v>31</v>
      </c>
      <c r="C27" s="21" t="s">
        <v>32</v>
      </c>
      <c r="D27" s="56" t="s">
        <v>18</v>
      </c>
      <c r="E27" s="71">
        <v>9000</v>
      </c>
      <c r="F27" s="97">
        <f>E27*1.07</f>
        <v>9630</v>
      </c>
    </row>
    <row r="28" spans="1:9" s="12" customFormat="1" ht="23">
      <c r="A28" s="25">
        <v>2</v>
      </c>
      <c r="B28" s="64" t="s">
        <v>37</v>
      </c>
      <c r="C28" s="27" t="s">
        <v>38</v>
      </c>
      <c r="D28" s="65" t="s">
        <v>19</v>
      </c>
      <c r="E28" s="72">
        <v>8000</v>
      </c>
      <c r="F28" s="98">
        <f>E28*1.07</f>
        <v>8560</v>
      </c>
    </row>
    <row r="29" spans="1:9" ht="23" customHeight="1" thickBot="1">
      <c r="A29" s="50">
        <v>3</v>
      </c>
      <c r="B29" s="51" t="s">
        <v>39</v>
      </c>
      <c r="C29" s="62" t="s">
        <v>40</v>
      </c>
      <c r="D29" s="63" t="s">
        <v>19</v>
      </c>
      <c r="E29" s="73">
        <v>9000</v>
      </c>
      <c r="F29" s="99">
        <f>E29*1.07</f>
        <v>9630</v>
      </c>
    </row>
    <row r="31" spans="1:9">
      <c r="B31" s="58" t="s">
        <v>46</v>
      </c>
      <c r="D31" s="109"/>
      <c r="E31" s="110"/>
      <c r="F31" s="109"/>
      <c r="G31" s="111"/>
      <c r="I31" s="112"/>
    </row>
    <row r="32" spans="1:9">
      <c r="D32" s="109"/>
      <c r="E32" s="110"/>
      <c r="F32" s="109"/>
      <c r="G32" s="111"/>
      <c r="I32" s="112"/>
    </row>
    <row r="33" spans="4:9">
      <c r="D33" s="109"/>
      <c r="E33" s="113" t="s">
        <v>47</v>
      </c>
      <c r="F33" s="113"/>
      <c r="G33" s="111"/>
      <c r="I33" s="112"/>
    </row>
    <row r="34" spans="4:9">
      <c r="D34" s="109"/>
      <c r="E34" s="113"/>
      <c r="F34" s="113"/>
      <c r="G34" s="111"/>
      <c r="I34" s="112"/>
    </row>
    <row r="35" spans="4:9">
      <c r="D35" s="109"/>
      <c r="E35" s="114"/>
      <c r="F35" s="109"/>
      <c r="G35" s="115" t="s">
        <v>48</v>
      </c>
      <c r="H35" s="116"/>
      <c r="I35" s="115"/>
    </row>
  </sheetData>
  <mergeCells count="5">
    <mergeCell ref="A24:F24"/>
    <mergeCell ref="A14:I14"/>
    <mergeCell ref="A19:F19"/>
    <mergeCell ref="A5:I5"/>
    <mergeCell ref="A1:I1"/>
  </mergeCells>
  <pageMargins left="0.31496062992125984" right="0" top="0.55118110236220474" bottom="0.15748031496062992" header="0.11811023622047245" footer="0.11811023622047245"/>
  <pageSetup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DH615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meditop thailand</dc:creator>
  <cp:lastModifiedBy>Sirikarn MDT</cp:lastModifiedBy>
  <cp:lastPrinted>2023-09-12T09:00:26Z</cp:lastPrinted>
  <dcterms:created xsi:type="dcterms:W3CDTF">2023-09-12T02:13:22Z</dcterms:created>
  <dcterms:modified xsi:type="dcterms:W3CDTF">2026-05-15T01:50:10Z</dcterms:modified>
</cp:coreProperties>
</file>