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ymind_Calculation Worksheet\DF56 Vet_รพ.สัตว์สวนหลวงสัตวแพทย์ (SLV)_28.09.2025\"/>
    </mc:Choice>
  </mc:AlternateContent>
  <xr:revisionPtr revIDLastSave="0" documentId="13_ncr:1_{DC44716A-367D-4FEB-B610-2F51680BEB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F56 Vet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5" l="1"/>
  <c r="F20" i="25" l="1"/>
  <c r="F19" i="25"/>
  <c r="F14" i="25"/>
  <c r="H8" i="25"/>
  <c r="G8" i="25"/>
  <c r="I8" i="25" s="1"/>
  <c r="H7" i="25"/>
  <c r="G7" i="25"/>
  <c r="I7" i="25" s="1"/>
  <c r="G6" i="25"/>
  <c r="I6" i="25" s="1"/>
  <c r="I9" i="25" l="1"/>
</calcChain>
</file>

<file path=xl/sharedStrings.xml><?xml version="1.0" encoding="utf-8"?>
<sst xmlns="http://schemas.openxmlformats.org/spreadsheetml/2006/main" count="55" uniqueCount="40">
  <si>
    <t>No.</t>
  </si>
  <si>
    <t>Product No.</t>
  </si>
  <si>
    <t>Packing Size</t>
  </si>
  <si>
    <t>Usage</t>
  </si>
  <si>
    <t>Price/Box</t>
  </si>
  <si>
    <t>No. Test/</t>
  </si>
  <si>
    <t>Cost/Test</t>
  </si>
  <si>
    <t>ml./cycle</t>
  </si>
  <si>
    <t>w/o VAT</t>
  </si>
  <si>
    <t>w/VAT</t>
  </si>
  <si>
    <t>Box</t>
  </si>
  <si>
    <t>Baht</t>
  </si>
  <si>
    <t>3 mL / Vial</t>
  </si>
  <si>
    <t xml:space="preserve">CBC+DIFF  </t>
  </si>
  <si>
    <t>500 mL</t>
  </si>
  <si>
    <t>DYM-12.01.0887A</t>
  </si>
  <si>
    <t>DIL-F Hematology Analyzer Diluent 20L</t>
  </si>
  <si>
    <t>DYM-12.01.0889A</t>
  </si>
  <si>
    <t>LYF-1 Hematology Analyzer Lyse 200 mL</t>
  </si>
  <si>
    <t>DYM-12.01.0884A</t>
  </si>
  <si>
    <t>LYF-2 Hematology Analyzer Lyse 500 mL</t>
  </si>
  <si>
    <t>DYM-12.01.0046A</t>
  </si>
  <si>
    <t>CLE-P Cleanser - 50 mL</t>
  </si>
  <si>
    <t>200 mL</t>
  </si>
  <si>
    <t>50 mL</t>
  </si>
  <si>
    <t>Cleansing Solution</t>
  </si>
  <si>
    <t>50 mL / Bottle</t>
  </si>
  <si>
    <t>Description</t>
  </si>
  <si>
    <t>Litre / Box</t>
  </si>
  <si>
    <t xml:space="preserve">Dymind DF56 Vet Reagent Cost Analysis Pricelist </t>
  </si>
  <si>
    <t>Calibrator &amp; Control</t>
  </si>
  <si>
    <t>DYM-12.01.0323A</t>
  </si>
  <si>
    <t>DM-CAL PLUS Hematology Calibrator - 3mL</t>
  </si>
  <si>
    <t>1 Vial</t>
  </si>
  <si>
    <t>หมายเหตุ :  ราคาอาจเปลี่ยนแปลงได้ตามความเหมาะสม</t>
  </si>
  <si>
    <t>Approved by………………………………………</t>
  </si>
  <si>
    <t>DYM-12.01.1808A</t>
  </si>
  <si>
    <t>DM-5D Hematology Control - 3mL(H)x1 + 3mL(N)x1 + 3mL(L)x1</t>
  </si>
  <si>
    <t>1 set</t>
  </si>
  <si>
    <t>Effective : September 29,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</si>
</sst>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</numFmts>
  <fonts count="19">
    <font>
      <sz val="14"/>
      <name val="Microsoft Sans Serif"/>
      <charset val="222"/>
    </font>
    <font>
      <sz val="14"/>
      <name val="Microsoft Sans Serif"/>
      <family val="2"/>
    </font>
    <font>
      <b/>
      <sz val="25"/>
      <name val="AngsanaUPC"/>
      <family val="1"/>
    </font>
    <font>
      <b/>
      <sz val="28"/>
      <name val="AngsanaUPC"/>
      <family val="1"/>
    </font>
    <font>
      <b/>
      <sz val="18"/>
      <name val="AngsanaUPC"/>
      <family val="1"/>
    </font>
    <font>
      <sz val="18"/>
      <name val="AngsanaUPC"/>
      <family val="1"/>
    </font>
    <font>
      <b/>
      <sz val="18"/>
      <name val="AngsanaUPC"/>
      <family val="1"/>
    </font>
    <font>
      <b/>
      <sz val="16"/>
      <name val="AngsanaUPC"/>
      <family val="1"/>
    </font>
    <font>
      <sz val="16"/>
      <name val="AngsanaUPC"/>
      <family val="1"/>
    </font>
    <font>
      <b/>
      <sz val="24"/>
      <name val="AngsanaUPC"/>
      <family val="1"/>
    </font>
    <font>
      <sz val="14"/>
      <name val="Microsoft Sans Serif"/>
      <family val="2"/>
    </font>
    <font>
      <sz val="14"/>
      <name val="Cordia New"/>
      <family val="2"/>
    </font>
    <font>
      <sz val="11"/>
      <name val="ＭＳ Ｐゴシック"/>
      <family val="3"/>
      <charset val="128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20"/>
      <name val="AngsanaUPC"/>
      <family val="1"/>
    </font>
    <font>
      <sz val="16"/>
      <color rgb="FFFF0000"/>
      <name val="AngsanaUPC"/>
      <family val="1"/>
    </font>
    <font>
      <sz val="16"/>
      <color rgb="FF0070C0"/>
      <name val="AngsanaUPC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12" fillId="0" borderId="0">
      <alignment vertical="center"/>
    </xf>
  </cellStyleXfs>
  <cellXfs count="9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1" applyFont="1"/>
    <xf numFmtId="165" fontId="5" fillId="0" borderId="0" xfId="1" applyNumberFormat="1" applyFont="1"/>
    <xf numFmtId="164" fontId="6" fillId="0" borderId="0" xfId="1" applyFont="1"/>
    <xf numFmtId="165" fontId="6" fillId="0" borderId="0" xfId="1" applyNumberFormat="1" applyFont="1"/>
    <xf numFmtId="164" fontId="7" fillId="0" borderId="1" xfId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/>
    </xf>
    <xf numFmtId="0" fontId="7" fillId="0" borderId="0" xfId="0" applyFont="1"/>
    <xf numFmtId="164" fontId="7" fillId="0" borderId="2" xfId="1" applyFont="1" applyFill="1" applyBorder="1" applyAlignment="1">
      <alignment horizontal="center"/>
    </xf>
    <xf numFmtId="0" fontId="8" fillId="0" borderId="0" xfId="0" applyFont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4" fontId="7" fillId="0" borderId="13" xfId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2" xfId="1" applyNumberFormat="1" applyFont="1" applyFill="1" applyBorder="1" applyAlignment="1">
      <alignment horizontal="center"/>
    </xf>
    <xf numFmtId="164" fontId="7" fillId="0" borderId="16" xfId="1" applyFont="1" applyFill="1" applyBorder="1" applyAlignment="1">
      <alignment horizontal="center"/>
    </xf>
    <xf numFmtId="0" fontId="7" fillId="0" borderId="18" xfId="0" applyFont="1" applyBorder="1" applyAlignment="1">
      <alignment horizontal="centerContinuous"/>
    </xf>
    <xf numFmtId="0" fontId="7" fillId="0" borderId="19" xfId="0" applyFont="1" applyBorder="1" applyAlignment="1">
      <alignment horizontal="centerContinuous"/>
    </xf>
    <xf numFmtId="0" fontId="7" fillId="0" borderId="18" xfId="0" applyFont="1" applyBorder="1" applyAlignment="1">
      <alignment horizontal="center"/>
    </xf>
    <xf numFmtId="0" fontId="7" fillId="0" borderId="19" xfId="0" applyFont="1" applyBorder="1"/>
    <xf numFmtId="0" fontId="13" fillId="0" borderId="0" xfId="0" applyFont="1" applyAlignment="1">
      <alignment vertical="center"/>
    </xf>
    <xf numFmtId="165" fontId="5" fillId="0" borderId="0" xfId="3" applyNumberFormat="1" applyFont="1"/>
    <xf numFmtId="164" fontId="4" fillId="0" borderId="0" xfId="3" applyFont="1"/>
    <xf numFmtId="0" fontId="14" fillId="0" borderId="0" xfId="0" applyFont="1" applyAlignment="1">
      <alignment vertical="center"/>
    </xf>
    <xf numFmtId="164" fontId="5" fillId="0" borderId="0" xfId="3" applyFont="1"/>
    <xf numFmtId="37" fontId="4" fillId="0" borderId="0" xfId="0" applyNumberFormat="1" applyFont="1"/>
    <xf numFmtId="164" fontId="15" fillId="0" borderId="0" xfId="3" applyFont="1" applyAlignment="1">
      <alignment horizontal="left" vertical="center"/>
    </xf>
    <xf numFmtId="165" fontId="8" fillId="0" borderId="4" xfId="1" applyNumberFormat="1" applyFont="1" applyFill="1" applyBorder="1"/>
    <xf numFmtId="165" fontId="8" fillId="0" borderId="6" xfId="1" applyNumberFormat="1" applyFont="1" applyFill="1" applyBorder="1"/>
    <xf numFmtId="165" fontId="8" fillId="0" borderId="17" xfId="1" applyNumberFormat="1" applyFont="1" applyFill="1" applyBorder="1"/>
    <xf numFmtId="0" fontId="16" fillId="0" borderId="0" xfId="0" applyFont="1" applyAlignment="1">
      <alignment horizontal="center"/>
    </xf>
    <xf numFmtId="164" fontId="7" fillId="0" borderId="18" xfId="1" applyFont="1" applyFill="1" applyBorder="1" applyAlignment="1">
      <alignment horizontal="centerContinuous"/>
    </xf>
    <xf numFmtId="165" fontId="7" fillId="0" borderId="19" xfId="1" applyNumberFormat="1" applyFont="1" applyFill="1" applyBorder="1" applyAlignment="1">
      <alignment horizontal="centerContinuous"/>
    </xf>
    <xf numFmtId="0" fontId="2" fillId="0" borderId="0" xfId="0" applyFont="1"/>
    <xf numFmtId="164" fontId="2" fillId="0" borderId="0" xfId="1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164" fontId="3" fillId="0" borderId="0" xfId="1" applyFont="1" applyFill="1" applyBorder="1" applyAlignment="1">
      <alignment horizontal="centerContinuous"/>
    </xf>
    <xf numFmtId="165" fontId="3" fillId="0" borderId="0" xfId="1" applyNumberFormat="1" applyFont="1" applyFill="1" applyBorder="1" applyAlignment="1">
      <alignment horizontal="centerContinuous"/>
    </xf>
    <xf numFmtId="165" fontId="3" fillId="0" borderId="0" xfId="1" applyNumberFormat="1" applyFont="1" applyFill="1" applyAlignment="1"/>
    <xf numFmtId="164" fontId="3" fillId="0" borderId="0" xfId="1" applyFont="1" applyFill="1" applyAlignment="1"/>
    <xf numFmtId="0" fontId="8" fillId="0" borderId="3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/>
    </xf>
    <xf numFmtId="0" fontId="8" fillId="0" borderId="4" xfId="0" applyFont="1" applyBorder="1" applyAlignment="1">
      <alignment horizontal="left"/>
    </xf>
    <xf numFmtId="165" fontId="8" fillId="0" borderId="4" xfId="1" applyNumberFormat="1" applyFont="1" applyFill="1" applyBorder="1" applyAlignment="1">
      <alignment horizontal="right"/>
    </xf>
    <xf numFmtId="164" fontId="8" fillId="0" borderId="4" xfId="1" applyFont="1" applyFill="1" applyBorder="1" applyAlignment="1">
      <alignment horizontal="right"/>
    </xf>
    <xf numFmtId="164" fontId="8" fillId="0" borderId="5" xfId="1" applyFont="1" applyFill="1" applyBorder="1"/>
    <xf numFmtId="0" fontId="8" fillId="0" borderId="2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166" fontId="8" fillId="0" borderId="6" xfId="1" applyNumberFormat="1" applyFont="1" applyFill="1" applyBorder="1" applyAlignment="1">
      <alignment horizontal="right"/>
    </xf>
    <xf numFmtId="164" fontId="8" fillId="0" borderId="6" xfId="0" applyNumberFormat="1" applyFont="1" applyBorder="1"/>
    <xf numFmtId="165" fontId="8" fillId="0" borderId="22" xfId="1" applyNumberFormat="1" applyFont="1" applyFill="1" applyBorder="1"/>
    <xf numFmtId="164" fontId="8" fillId="0" borderId="7" xfId="1" applyFont="1" applyFill="1" applyBorder="1"/>
    <xf numFmtId="0" fontId="8" fillId="0" borderId="8" xfId="0" applyFont="1" applyBorder="1" applyAlignment="1">
      <alignment horizontal="centerContinuous"/>
    </xf>
    <xf numFmtId="0" fontId="8" fillId="0" borderId="17" xfId="0" applyFont="1" applyBorder="1" applyAlignment="1">
      <alignment horizontal="center" wrapText="1"/>
    </xf>
    <xf numFmtId="0" fontId="8" fillId="0" borderId="17" xfId="0" applyFont="1" applyBorder="1" applyAlignment="1">
      <alignment horizontal="left"/>
    </xf>
    <xf numFmtId="166" fontId="8" fillId="0" borderId="17" xfId="1" applyNumberFormat="1" applyFont="1" applyFill="1" applyBorder="1" applyAlignment="1">
      <alignment horizontal="right"/>
    </xf>
    <xf numFmtId="167" fontId="8" fillId="0" borderId="17" xfId="0" applyNumberFormat="1" applyFont="1" applyBorder="1" applyAlignment="1">
      <alignment horizontal="right"/>
    </xf>
    <xf numFmtId="165" fontId="8" fillId="0" borderId="15" xfId="1" applyNumberFormat="1" applyFont="1" applyFill="1" applyBorder="1"/>
    <xf numFmtId="164" fontId="8" fillId="0" borderId="9" xfId="1" applyFont="1" applyFill="1" applyBorder="1"/>
    <xf numFmtId="0" fontId="8" fillId="0" borderId="0" xfId="0" applyFont="1" applyAlignment="1">
      <alignment horizontal="centerContinuous"/>
    </xf>
    <xf numFmtId="167" fontId="8" fillId="0" borderId="0" xfId="1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164" fontId="8" fillId="0" borderId="0" xfId="1" applyFont="1" applyFill="1" applyBorder="1"/>
    <xf numFmtId="165" fontId="8" fillId="0" borderId="0" xfId="1" applyNumberFormat="1" applyFont="1" applyFill="1" applyBorder="1"/>
    <xf numFmtId="164" fontId="7" fillId="0" borderId="21" xfId="1" applyFont="1" applyFill="1" applyBorder="1"/>
    <xf numFmtId="164" fontId="7" fillId="0" borderId="0" xfId="1" applyFont="1" applyFill="1" applyBorder="1"/>
    <xf numFmtId="164" fontId="7" fillId="0" borderId="13" xfId="1" applyFont="1" applyFill="1" applyBorder="1" applyAlignment="1">
      <alignment horizontal="centerContinuous"/>
    </xf>
    <xf numFmtId="165" fontId="7" fillId="0" borderId="16" xfId="1" applyNumberFormat="1" applyFont="1" applyFill="1" applyBorder="1" applyAlignment="1">
      <alignment horizontal="centerContinuous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Continuous"/>
    </xf>
    <xf numFmtId="167" fontId="8" fillId="0" borderId="17" xfId="1" applyNumberFormat="1" applyFont="1" applyFill="1" applyBorder="1" applyAlignment="1">
      <alignment horizontal="right"/>
    </xf>
    <xf numFmtId="165" fontId="8" fillId="0" borderId="9" xfId="1" applyNumberFormat="1" applyFont="1" applyFill="1" applyBorder="1"/>
    <xf numFmtId="165" fontId="8" fillId="0" borderId="0" xfId="1" applyNumberFormat="1" applyFont="1" applyFill="1"/>
    <xf numFmtId="164" fontId="7" fillId="0" borderId="0" xfId="1" applyFont="1" applyFill="1"/>
    <xf numFmtId="167" fontId="8" fillId="0" borderId="17" xfId="1" applyNumberFormat="1" applyFont="1" applyFill="1" applyBorder="1" applyAlignment="1">
      <alignment horizontal="center"/>
    </xf>
    <xf numFmtId="0" fontId="17" fillId="0" borderId="15" xfId="0" applyFont="1" applyBorder="1" applyAlignment="1">
      <alignment horizontal="centerContinuous"/>
    </xf>
    <xf numFmtId="0" fontId="17" fillId="0" borderId="17" xfId="0" applyFont="1" applyBorder="1" applyAlignment="1">
      <alignment horizontal="left"/>
    </xf>
    <xf numFmtId="165" fontId="18" fillId="0" borderId="0" xfId="1" applyNumberFormat="1" applyFont="1" applyFill="1" applyBorder="1"/>
    <xf numFmtId="164" fontId="9" fillId="0" borderId="23" xfId="1" applyFont="1" applyFill="1" applyBorder="1" applyAlignment="1">
      <alignment horizontal="center" vertical="center"/>
    </xf>
    <xf numFmtId="164" fontId="9" fillId="0" borderId="24" xfId="1" applyFont="1" applyFill="1" applyBorder="1" applyAlignment="1">
      <alignment horizontal="center" vertical="center"/>
    </xf>
    <xf numFmtId="164" fontId="9" fillId="0" borderId="25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</cellXfs>
  <cellStyles count="6">
    <cellStyle name="Comma" xfId="1" builtinId="3"/>
    <cellStyle name="Comma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6"/>
  <sheetViews>
    <sheetView tabSelected="1" zoomScale="68" zoomScaleNormal="68" workbookViewId="0">
      <selection activeCell="K8" sqref="K8"/>
    </sheetView>
  </sheetViews>
  <sheetFormatPr defaultColWidth="8.8125" defaultRowHeight="26"/>
  <cols>
    <col min="1" max="1" width="3.1875" style="2" customWidth="1"/>
    <col min="2" max="2" width="12" style="2" customWidth="1"/>
    <col min="3" max="3" width="37.6875" style="3" customWidth="1"/>
    <col min="4" max="4" width="10.375" style="4" customWidth="1"/>
    <col min="5" max="5" width="7.8125" style="7" customWidth="1"/>
    <col min="6" max="6" width="7.8125" style="4" customWidth="1"/>
    <col min="7" max="7" width="9.625" style="5" customWidth="1"/>
    <col min="8" max="8" width="8.125" style="3" customWidth="1"/>
    <col min="9" max="9" width="8.1875" style="6" customWidth="1"/>
    <col min="10" max="16384" width="8.8125" style="2"/>
  </cols>
  <sheetData>
    <row r="1" spans="1:9" s="1" customFormat="1" ht="41.25" customHeight="1" thickBot="1">
      <c r="A1" s="86" t="s">
        <v>29</v>
      </c>
      <c r="B1" s="87"/>
      <c r="C1" s="87"/>
      <c r="D1" s="87"/>
      <c r="E1" s="87"/>
      <c r="F1" s="87"/>
      <c r="G1" s="87"/>
      <c r="H1" s="87"/>
      <c r="I1" s="88"/>
    </row>
    <row r="2" spans="1:9" s="1" customFormat="1" ht="28.5" customHeight="1" thickBot="1">
      <c r="C2" s="40"/>
      <c r="D2" s="41"/>
      <c r="E2" s="42"/>
      <c r="F2" s="43"/>
      <c r="G2" s="44"/>
      <c r="H2" s="45"/>
      <c r="I2" s="46"/>
    </row>
    <row r="3" spans="1:9" s="10" customFormat="1" ht="33" customHeight="1">
      <c r="A3" s="13" t="s">
        <v>0</v>
      </c>
      <c r="B3" s="16" t="s">
        <v>1</v>
      </c>
      <c r="C3" s="14" t="s">
        <v>27</v>
      </c>
      <c r="D3" s="8" t="s">
        <v>2</v>
      </c>
      <c r="E3" s="15" t="s">
        <v>3</v>
      </c>
      <c r="F3" s="8" t="s">
        <v>4</v>
      </c>
      <c r="G3" s="9" t="s">
        <v>4</v>
      </c>
      <c r="H3" s="9" t="s">
        <v>5</v>
      </c>
      <c r="I3" s="17" t="s">
        <v>6</v>
      </c>
    </row>
    <row r="4" spans="1:9" s="10" customFormat="1" ht="33" customHeight="1" thickBot="1">
      <c r="A4" s="18"/>
      <c r="B4" s="19"/>
      <c r="C4" s="19"/>
      <c r="D4" s="11" t="s">
        <v>28</v>
      </c>
      <c r="E4" s="20" t="s">
        <v>7</v>
      </c>
      <c r="F4" s="11" t="s">
        <v>8</v>
      </c>
      <c r="G4" s="21" t="s">
        <v>9</v>
      </c>
      <c r="H4" s="21" t="s">
        <v>10</v>
      </c>
      <c r="I4" s="22" t="s">
        <v>11</v>
      </c>
    </row>
    <row r="5" spans="1:9" s="12" customFormat="1" ht="29.5" thickBot="1">
      <c r="A5" s="89" t="s">
        <v>13</v>
      </c>
      <c r="B5" s="90"/>
      <c r="C5" s="90"/>
      <c r="D5" s="90"/>
      <c r="E5" s="90"/>
      <c r="F5" s="90"/>
      <c r="G5" s="90"/>
      <c r="H5" s="90"/>
      <c r="I5" s="91"/>
    </row>
    <row r="6" spans="1:9" s="12" customFormat="1" ht="23">
      <c r="A6" s="47">
        <v>1</v>
      </c>
      <c r="B6" s="48" t="s">
        <v>15</v>
      </c>
      <c r="C6" s="49" t="s">
        <v>16</v>
      </c>
      <c r="D6" s="50">
        <v>20</v>
      </c>
      <c r="E6" s="51">
        <v>53.33</v>
      </c>
      <c r="F6" s="34">
        <v>1700</v>
      </c>
      <c r="G6" s="34">
        <f>F6*1.07</f>
        <v>1819</v>
      </c>
      <c r="H6" s="34">
        <f>(D6*1000)/E6</f>
        <v>375.02343896493534</v>
      </c>
      <c r="I6" s="52">
        <f>G6/H6</f>
        <v>4.8503634999999994</v>
      </c>
    </row>
    <row r="7" spans="1:9" s="12" customFormat="1" ht="23">
      <c r="A7" s="53">
        <v>2</v>
      </c>
      <c r="B7" s="54" t="s">
        <v>17</v>
      </c>
      <c r="C7" s="55" t="s">
        <v>18</v>
      </c>
      <c r="D7" s="56" t="s">
        <v>23</v>
      </c>
      <c r="E7" s="57">
        <v>0.2</v>
      </c>
      <c r="F7" s="35">
        <v>8900</v>
      </c>
      <c r="G7" s="58">
        <f>F7*1.07</f>
        <v>9523</v>
      </c>
      <c r="H7" s="35">
        <f>200/E7</f>
        <v>1000</v>
      </c>
      <c r="I7" s="59">
        <f>G7/H7</f>
        <v>9.5229999999999997</v>
      </c>
    </row>
    <row r="8" spans="1:9" s="12" customFormat="1" ht="23.5" thickBot="1">
      <c r="A8" s="60">
        <v>3</v>
      </c>
      <c r="B8" s="61" t="s">
        <v>19</v>
      </c>
      <c r="C8" s="62" t="s">
        <v>20</v>
      </c>
      <c r="D8" s="63" t="s">
        <v>14</v>
      </c>
      <c r="E8" s="64">
        <v>0.71399999999999997</v>
      </c>
      <c r="F8" s="36">
        <v>5100</v>
      </c>
      <c r="G8" s="65">
        <f>F8*1.07</f>
        <v>5457</v>
      </c>
      <c r="H8" s="36">
        <f>500/E8</f>
        <v>700.280112044818</v>
      </c>
      <c r="I8" s="66">
        <f>G8/H8</f>
        <v>7.7925959999999996</v>
      </c>
    </row>
    <row r="9" spans="1:9" s="12" customFormat="1" ht="23.5" thickBot="1">
      <c r="A9" s="67"/>
      <c r="B9" s="67"/>
      <c r="C9" s="67"/>
      <c r="D9" s="68"/>
      <c r="E9" s="69"/>
      <c r="F9" s="85"/>
      <c r="G9" s="71"/>
      <c r="H9" s="71"/>
      <c r="I9" s="72">
        <f>SUM(I6:I8)</f>
        <v>22.1659595</v>
      </c>
    </row>
    <row r="10" spans="1:9" s="12" customFormat="1" ht="24" thickTop="1" thickBot="1">
      <c r="A10" s="67"/>
      <c r="B10" s="67"/>
      <c r="C10" s="67"/>
      <c r="D10" s="68"/>
      <c r="E10" s="69"/>
      <c r="F10" s="70"/>
      <c r="G10" s="71"/>
      <c r="H10" s="71"/>
      <c r="I10" s="73"/>
    </row>
    <row r="11" spans="1:9" s="12" customFormat="1" ht="29.5" thickBot="1">
      <c r="A11" s="89" t="s">
        <v>25</v>
      </c>
      <c r="B11" s="90"/>
      <c r="C11" s="90"/>
      <c r="D11" s="90"/>
      <c r="E11" s="90"/>
      <c r="F11" s="91"/>
      <c r="G11" s="37"/>
      <c r="H11" s="37"/>
      <c r="I11" s="37"/>
    </row>
    <row r="12" spans="1:9" s="10" customFormat="1" ht="33" customHeight="1">
      <c r="A12" s="23" t="s">
        <v>0</v>
      </c>
      <c r="B12" s="25" t="s">
        <v>1</v>
      </c>
      <c r="C12" s="23" t="s">
        <v>27</v>
      </c>
      <c r="D12" s="25" t="s">
        <v>26</v>
      </c>
      <c r="E12" s="38" t="s">
        <v>4</v>
      </c>
      <c r="F12" s="74" t="s">
        <v>4</v>
      </c>
    </row>
    <row r="13" spans="1:9" s="10" customFormat="1" ht="33.5" customHeight="1" thickBot="1">
      <c r="A13" s="24"/>
      <c r="B13" s="26"/>
      <c r="C13" s="24"/>
      <c r="D13" s="26"/>
      <c r="E13" s="39" t="s">
        <v>8</v>
      </c>
      <c r="F13" s="75" t="s">
        <v>9</v>
      </c>
    </row>
    <row r="14" spans="1:9" s="12" customFormat="1" ht="23.5" thickBot="1">
      <c r="A14" s="76">
        <v>1</v>
      </c>
      <c r="B14" s="77" t="s">
        <v>21</v>
      </c>
      <c r="C14" s="62" t="s">
        <v>22</v>
      </c>
      <c r="D14" s="78" t="s">
        <v>24</v>
      </c>
      <c r="E14" s="36">
        <v>1000</v>
      </c>
      <c r="F14" s="79">
        <f>E14*1.07</f>
        <v>1070</v>
      </c>
      <c r="G14" s="80"/>
      <c r="H14" s="10"/>
      <c r="I14" s="81"/>
    </row>
    <row r="15" spans="1:9" s="12" customFormat="1" ht="23.5" thickBot="1">
      <c r="A15" s="67"/>
      <c r="B15" s="67"/>
      <c r="C15" s="67"/>
      <c r="D15" s="68"/>
      <c r="E15" s="69"/>
      <c r="F15" s="70"/>
      <c r="G15" s="71"/>
      <c r="H15" s="71"/>
      <c r="I15" s="73"/>
    </row>
    <row r="16" spans="1:9" s="12" customFormat="1" ht="29.5" thickBot="1">
      <c r="A16" s="89" t="s">
        <v>30</v>
      </c>
      <c r="B16" s="90"/>
      <c r="C16" s="90"/>
      <c r="D16" s="90"/>
      <c r="E16" s="90"/>
      <c r="F16" s="91"/>
      <c r="G16" s="37"/>
      <c r="H16" s="37"/>
      <c r="I16" s="37"/>
    </row>
    <row r="17" spans="1:9" s="10" customFormat="1" ht="33" customHeight="1">
      <c r="A17" s="23" t="s">
        <v>0</v>
      </c>
      <c r="B17" s="25" t="s">
        <v>1</v>
      </c>
      <c r="C17" s="23" t="s">
        <v>27</v>
      </c>
      <c r="D17" s="25" t="s">
        <v>12</v>
      </c>
      <c r="E17" s="38" t="s">
        <v>4</v>
      </c>
      <c r="F17" s="74" t="s">
        <v>4</v>
      </c>
    </row>
    <row r="18" spans="1:9" s="10" customFormat="1" ht="32.5" customHeight="1" thickBot="1">
      <c r="A18" s="24"/>
      <c r="B18" s="26"/>
      <c r="C18" s="24"/>
      <c r="D18" s="26"/>
      <c r="E18" s="39" t="s">
        <v>8</v>
      </c>
      <c r="F18" s="75" t="s">
        <v>9</v>
      </c>
    </row>
    <row r="19" spans="1:9" s="10" customFormat="1" ht="23.5" thickBot="1">
      <c r="A19" s="76">
        <v>1</v>
      </c>
      <c r="B19" s="77" t="s">
        <v>31</v>
      </c>
      <c r="C19" s="62" t="s">
        <v>32</v>
      </c>
      <c r="D19" s="82" t="s">
        <v>33</v>
      </c>
      <c r="E19" s="36">
        <v>9000</v>
      </c>
      <c r="F19" s="79">
        <f>E19*1.07</f>
        <v>9630</v>
      </c>
    </row>
    <row r="20" spans="1:9" s="10" customFormat="1" ht="23.5" thickBot="1">
      <c r="A20" s="76">
        <v>2</v>
      </c>
      <c r="B20" s="83" t="s">
        <v>36</v>
      </c>
      <c r="C20" s="84" t="s">
        <v>37</v>
      </c>
      <c r="D20" s="82" t="s">
        <v>38</v>
      </c>
      <c r="E20" s="36">
        <v>8000</v>
      </c>
      <c r="F20" s="79">
        <f>E20*1.07</f>
        <v>8560</v>
      </c>
    </row>
    <row r="21" spans="1:9" ht="23" customHeight="1"/>
    <row r="22" spans="1:9">
      <c r="B22" s="2" t="s">
        <v>34</v>
      </c>
    </row>
    <row r="24" spans="1:9">
      <c r="E24" s="27" t="s">
        <v>35</v>
      </c>
      <c r="F24" s="27"/>
      <c r="G24" s="28"/>
      <c r="H24" s="1"/>
      <c r="I24" s="29"/>
    </row>
    <row r="25" spans="1:9">
      <c r="E25" s="27"/>
      <c r="F25" s="27"/>
      <c r="G25" s="28"/>
      <c r="H25" s="1"/>
      <c r="I25" s="29"/>
    </row>
    <row r="26" spans="1:9">
      <c r="E26" s="30"/>
      <c r="F26" s="31"/>
      <c r="G26" s="32"/>
      <c r="H26" s="33" t="s">
        <v>39</v>
      </c>
      <c r="I26" s="32"/>
    </row>
  </sheetData>
  <mergeCells count="4">
    <mergeCell ref="A1:I1"/>
    <mergeCell ref="A5:I5"/>
    <mergeCell ref="A11:F11"/>
    <mergeCell ref="A16:F16"/>
  </mergeCells>
  <pageMargins left="0.27559055118110237" right="0" top="0.74803149606299213" bottom="0" header="0.31496062992125984" footer="0.31496062992125984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DF56 Vet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Pornthip Leammukda</dc:creator>
  <cp:lastModifiedBy>Krittiya Boonyarattanagalin</cp:lastModifiedBy>
  <cp:lastPrinted>2022-05-19T06:12:58Z</cp:lastPrinted>
  <dcterms:created xsi:type="dcterms:W3CDTF">2002-06-21T09:02:34Z</dcterms:created>
  <dcterms:modified xsi:type="dcterms:W3CDTF">2025-09-29T04:18:11Z</dcterms:modified>
</cp:coreProperties>
</file>