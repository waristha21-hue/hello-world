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editop\Cost and Price\ปรับราคา\ปรับราคา2026\"/>
    </mc:Choice>
  </mc:AlternateContent>
  <xr:revisionPtr revIDLastSave="0" documentId="8_{25A173AE-F9F3-4412-BBA8-EE1AAD1D5C81}" xr6:coauthVersionLast="47" xr6:coauthVersionMax="47" xr10:uidLastSave="{00000000-0000-0000-0000-000000000000}"/>
  <bookViews>
    <workbookView xWindow="-110" yWindow="-110" windowWidth="19420" windowHeight="10300" xr2:uid="{B7A87633-25D4-4EE0-8582-74DFD8833D56}"/>
  </bookViews>
  <sheets>
    <sheet name="Reagents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8" l="1"/>
  <c r="A6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7" i="8"/>
  <c r="H7" i="8"/>
</calcChain>
</file>

<file path=xl/sharedStrings.xml><?xml version="1.0" encoding="utf-8"?>
<sst xmlns="http://schemas.openxmlformats.org/spreadsheetml/2006/main" count="360" uniqueCount="208">
  <si>
    <t>Cat Code</t>
  </si>
  <si>
    <t>10x10</t>
  </si>
  <si>
    <t>AB3800</t>
  </si>
  <si>
    <t>ALBUMIN (Liquid) (RX daytona/RX imola)</t>
  </si>
  <si>
    <t>BCG</t>
  </si>
  <si>
    <t xml:space="preserve">9x51 </t>
  </si>
  <si>
    <t>AB8301</t>
  </si>
  <si>
    <t>ALBUMIN (RX daytona plus/ RX monaco)</t>
  </si>
  <si>
    <t>AD189</t>
  </si>
  <si>
    <t>ALDOLASE</t>
  </si>
  <si>
    <t>UV</t>
  </si>
  <si>
    <t>5x20</t>
  </si>
  <si>
    <t>COLORIMETRIC</t>
  </si>
  <si>
    <t>AL3801</t>
  </si>
  <si>
    <t>ALT (GPT) (Liquid) (RX daytona/RX imola)</t>
  </si>
  <si>
    <t xml:space="preserve">UV (IFCC) </t>
  </si>
  <si>
    <t xml:space="preserve">R1 6x51, R2 6x14 </t>
  </si>
  <si>
    <t>R1 4x20ml, R2 4x7ml</t>
  </si>
  <si>
    <t>IMMUNOTURBIDIMETRIC</t>
  </si>
  <si>
    <t>AP3802</t>
  </si>
  <si>
    <t>ALK. PHOS. (Liquid) (RX daytona/RX imola)</t>
  </si>
  <si>
    <t>AMP</t>
  </si>
  <si>
    <t>AS3804</t>
  </si>
  <si>
    <t>AST (GOT) (Liquid) (RX daytona/RX imola)</t>
  </si>
  <si>
    <t xml:space="preserve">UV (MODIFIED IFCC) </t>
  </si>
  <si>
    <t>BR3807</t>
  </si>
  <si>
    <t>BILIRUBIN (DIRECT) (Liquid) (RX daytona/RX imola)</t>
  </si>
  <si>
    <t>JENDRASSIK</t>
  </si>
  <si>
    <t xml:space="preserve">R1 2x30, R2 8x4 </t>
  </si>
  <si>
    <t>BR3859</t>
  </si>
  <si>
    <t>BILIRUBIN (TOTAL) (RX daytona/RX imola)</t>
  </si>
  <si>
    <t xml:space="preserve">R1 2x50, R2 8x4 </t>
  </si>
  <si>
    <t>BR411</t>
  </si>
  <si>
    <t>BILIRUBIN (Liquid)</t>
  </si>
  <si>
    <t>1x225</t>
  </si>
  <si>
    <t>CA3871</t>
  </si>
  <si>
    <t>CALCIUM (Liquid) (Mono Reagent) (RX daytona/RX imola)</t>
  </si>
  <si>
    <t>ARSENAZO</t>
  </si>
  <si>
    <t>ENZYMATIC</t>
  </si>
  <si>
    <t>CHOD-PAP</t>
  </si>
  <si>
    <t>CH3810</t>
  </si>
  <si>
    <t>CHOLESTEROL (Liquid) (RX daytona/RX imola)</t>
  </si>
  <si>
    <t>CK3812</t>
  </si>
  <si>
    <t>CK-NAC (RX daytona/RX imola)</t>
  </si>
  <si>
    <t xml:space="preserve">UV (DGKC) </t>
  </si>
  <si>
    <t xml:space="preserve">R1 4x20, R2 4x6 </t>
  </si>
  <si>
    <t>L.E.I</t>
  </si>
  <si>
    <t>CR3814</t>
  </si>
  <si>
    <t>CREATININE (Liquid) (RX daytona/RX imola)</t>
  </si>
  <si>
    <t>JAFFE</t>
  </si>
  <si>
    <t xml:space="preserve">R1 6x51, R2 3x28 </t>
  </si>
  <si>
    <t>FN3888</t>
  </si>
  <si>
    <t>FERRITIN (RX daytona/RX imola)</t>
  </si>
  <si>
    <t xml:space="preserve">R1 3x20 R2 3x11 </t>
  </si>
  <si>
    <t>FR4030</t>
  </si>
  <si>
    <t>FRUCTOSAMINE (Liquid) (RX daytona/RX imola)</t>
  </si>
  <si>
    <t>R1 4x19.8, R2 4x6.9</t>
  </si>
  <si>
    <t>GL2614</t>
  </si>
  <si>
    <t>GLUCOSE (Liquid)</t>
  </si>
  <si>
    <t>GOD-PAP</t>
  </si>
  <si>
    <t>2x500</t>
  </si>
  <si>
    <t>GLUCOSE (Liquid) (RX daytona/RX imola)</t>
  </si>
  <si>
    <t>GL3816</t>
  </si>
  <si>
    <t>HEXOKINASE</t>
  </si>
  <si>
    <t xml:space="preserve">R1 4x51, R2 3x20 </t>
  </si>
  <si>
    <t>GL3881</t>
  </si>
  <si>
    <t>GLUCOSE (Mono Reagent) (RX daytona/RX imola)</t>
  </si>
  <si>
    <t xml:space="preserve">HEXOKINASE </t>
  </si>
  <si>
    <t xml:space="preserve">4x50 </t>
  </si>
  <si>
    <t>GT3817</t>
  </si>
  <si>
    <t>GAMMA GT (Liquid) (RX daytona/RX imola)</t>
  </si>
  <si>
    <t>GT3874</t>
  </si>
  <si>
    <t>GAMMA GT (Liquid) (Mono Reagent) (RX daytona/RX imola)</t>
  </si>
  <si>
    <t xml:space="preserve">6x20.5 </t>
  </si>
  <si>
    <t>GT523</t>
  </si>
  <si>
    <t>GAMMA GT</t>
  </si>
  <si>
    <t>GT8146</t>
  </si>
  <si>
    <t>GAMMA GT (Liquid) (RX Modena)</t>
  </si>
  <si>
    <t>R1 7x20, R2 7x8</t>
  </si>
  <si>
    <t>GT8320</t>
  </si>
  <si>
    <t>GAMMA GT (Liquid) (RX daytona plus/ RX monaco)</t>
  </si>
  <si>
    <t>GPO-PAP</t>
  </si>
  <si>
    <t>HA3830</t>
  </si>
  <si>
    <t>HbA1c (Liquid) (RX daytona/RX imola)</t>
  </si>
  <si>
    <t xml:space="preserve">R1 3x14, R2 3x14 </t>
  </si>
  <si>
    <t>LC2389</t>
  </si>
  <si>
    <t>LACTATE</t>
  </si>
  <si>
    <t>16x6</t>
  </si>
  <si>
    <t>LC3980</t>
  </si>
  <si>
    <t>LACTATE (RX daytona/RX imola)</t>
  </si>
  <si>
    <t>R1 4x20.5</t>
  </si>
  <si>
    <t>LD3818</t>
  </si>
  <si>
    <t>LD PYRUVATE -&gt; LACTATE (Liquid) (RX daytona/RX imola)</t>
  </si>
  <si>
    <t xml:space="preserve">R1 6x20, R2 3x11 </t>
  </si>
  <si>
    <t>LI3837</t>
  </si>
  <si>
    <t>LIPASE (Liquid) (RX daytona/RX imola)</t>
  </si>
  <si>
    <t xml:space="preserve">R1 3x9, R2 3x6 </t>
  </si>
  <si>
    <t>MA2426</t>
  </si>
  <si>
    <t>MICROALBUMIN (2-shot only) (Liquid)</t>
  </si>
  <si>
    <t>R1 1x60, R2 1x7</t>
  </si>
  <si>
    <t>MA8056</t>
  </si>
  <si>
    <t>MICROALBUMIN (RX Modena)</t>
  </si>
  <si>
    <t>PEG ENHANCED IMMUNOTURB.</t>
  </si>
  <si>
    <t>R1 2x20, R2 2x6.6</t>
  </si>
  <si>
    <t>MA8325</t>
  </si>
  <si>
    <t>MICROALBUMIN (RX daytona plus/ RX monaco)</t>
  </si>
  <si>
    <t>R1 1x20ml, R2 1x4.6ml</t>
  </si>
  <si>
    <t>MG3880</t>
  </si>
  <si>
    <t>MAGNESIUM (Liquid) (Mono Reagent) (RX daytona/RX imola)</t>
  </si>
  <si>
    <t>XYLIDYL BLUE</t>
  </si>
  <si>
    <t xml:space="preserve">6x20 </t>
  </si>
  <si>
    <t>NX2332</t>
  </si>
  <si>
    <t>TOTAL ANTIOXIDANT STATUS</t>
  </si>
  <si>
    <t>5x10</t>
  </si>
  <si>
    <t>PD2616</t>
  </si>
  <si>
    <t>G-6-PDH</t>
  </si>
  <si>
    <t>SCREEN TEST</t>
  </si>
  <si>
    <t>750T</t>
  </si>
  <si>
    <t>PD410</t>
  </si>
  <si>
    <t>R1 1x100, R2 1x2</t>
  </si>
  <si>
    <t>PH3872</t>
  </si>
  <si>
    <t>PHOSPHORUS (INORGANIC) (Liquid) (Mono Reagent) (RX daytona/RX imola)</t>
  </si>
  <si>
    <t>RB1007</t>
  </si>
  <si>
    <t>RANBUT (D-3-Hydroxybutyrate)</t>
  </si>
  <si>
    <t>RB1008</t>
  </si>
  <si>
    <t>10x50</t>
  </si>
  <si>
    <t>RS504</t>
  </si>
  <si>
    <t>RANSEL (Glutathione Peroxidase)</t>
  </si>
  <si>
    <t>8x6.5</t>
  </si>
  <si>
    <t>RS505</t>
  </si>
  <si>
    <t>8x10</t>
  </si>
  <si>
    <t>SD124</t>
  </si>
  <si>
    <t>RANSOD DILUENT</t>
  </si>
  <si>
    <t>6x100</t>
  </si>
  <si>
    <t>SD125</t>
  </si>
  <si>
    <t>RANSOD (Superoxide Dismutase)</t>
  </si>
  <si>
    <t>SI3821</t>
  </si>
  <si>
    <t>IRON (Liquid) (RX daytona/RX imola)</t>
  </si>
  <si>
    <t>FERROZINE</t>
  </si>
  <si>
    <t>SI8049</t>
  </si>
  <si>
    <t>IRON (Liquid) (RX Modena)</t>
  </si>
  <si>
    <t>R1 7x15.5, R2 7x6.7</t>
  </si>
  <si>
    <t>SI8330</t>
  </si>
  <si>
    <t>IRON (Liquid) (RX daytona plus/ RX monaco)</t>
  </si>
  <si>
    <t>TF3831</t>
  </si>
  <si>
    <t>TRANSFERRIN (Liquid) (RX daytona/RX imola)</t>
  </si>
  <si>
    <t xml:space="preserve">R1 6x20, R2 3x14 </t>
  </si>
  <si>
    <t>TI4064</t>
  </si>
  <si>
    <t>TOTAL IRON BINDING CAPACITY (RX daytona/RX imola)</t>
  </si>
  <si>
    <t xml:space="preserve">R1 4x9, R2 4x4 </t>
  </si>
  <si>
    <t>TI8065</t>
  </si>
  <si>
    <t>TOTAL IRON BINDING CAPACITY (RX Modena)</t>
  </si>
  <si>
    <t>R1 4x8.7, R2 4x4.9</t>
  </si>
  <si>
    <t>TP3869</t>
  </si>
  <si>
    <t>TOTAL PROTEIN (Liquid) (Mono Reagent) (RX daytona/RX imola)</t>
  </si>
  <si>
    <t>BIURET</t>
  </si>
  <si>
    <t>TR1697</t>
  </si>
  <si>
    <t>TRIGLYCERIDES (Liquid)</t>
  </si>
  <si>
    <t>4x100T</t>
  </si>
  <si>
    <t>ENZYMATIC COLORIMETRIC</t>
  </si>
  <si>
    <t>UA3824</t>
  </si>
  <si>
    <t>URIC ACID (Liquid) (RX daytona/RX imola)</t>
  </si>
  <si>
    <t xml:space="preserve">R1 6x51, R2 4x20 </t>
  </si>
  <si>
    <t>UA3870</t>
  </si>
  <si>
    <t>URIC ACID (Liquid) (Mono Reagent) (RX daytona/RX imola)</t>
  </si>
  <si>
    <t>UP1570</t>
  </si>
  <si>
    <t>URINARY PROTEIN (Liquid) (RX daytona/RX imola)</t>
  </si>
  <si>
    <t>3x100</t>
  </si>
  <si>
    <t>UR3825</t>
  </si>
  <si>
    <t>UREA (Liquid) (RX daytona/RX imola)</t>
  </si>
  <si>
    <t>ENZYMATIC KINETIC</t>
  </si>
  <si>
    <t>UR446</t>
  </si>
  <si>
    <t>UREA 1 minute read</t>
  </si>
  <si>
    <t>ZN2341</t>
  </si>
  <si>
    <t>ZINC (with deproteinisation)</t>
  </si>
  <si>
    <t>R1 1x50, R2 1x250</t>
  </si>
  <si>
    <t>ZN2607</t>
  </si>
  <si>
    <t>ZINC DEPROTEINIZING SOLUTION</t>
  </si>
  <si>
    <t>6x50</t>
  </si>
  <si>
    <t>DESCRIPTIONS</t>
  </si>
  <si>
    <t>เลขที่ใบสำคัญ</t>
  </si>
  <si>
    <t>65-2-2-1-0016440</t>
  </si>
  <si>
    <t>65-2-2-1-0016666</t>
  </si>
  <si>
    <t>65-2-2-1-0016674</t>
  </si>
  <si>
    <t>65-2-2-1-0017568</t>
  </si>
  <si>
    <t>65-2-2-1-0018007</t>
  </si>
  <si>
    <t>66-2-2-1-0004495</t>
  </si>
  <si>
    <t>66-2-2-1-0016359</t>
  </si>
  <si>
    <t>67-2-2-1-0001385</t>
  </si>
  <si>
    <t>67-2-2-1-0001444</t>
  </si>
  <si>
    <t>67-2-2-1-0001446</t>
  </si>
  <si>
    <t>SIZE</t>
  </si>
  <si>
    <t>RDX-</t>
  </si>
  <si>
    <t xml:space="preserve"> ( VAT)</t>
  </si>
  <si>
    <t xml:space="preserve">PRICE / PACK </t>
  </si>
  <si>
    <t xml:space="preserve">  (w/o VAT)</t>
  </si>
  <si>
    <t>PRICE / PACK</t>
  </si>
  <si>
    <t>(ml)</t>
  </si>
  <si>
    <t xml:space="preserve"> (P/N)</t>
  </si>
  <si>
    <t>PART NUMBER</t>
  </si>
  <si>
    <t>MEDTHOD</t>
  </si>
  <si>
    <t>RANDOX REAGENTS PRICE LIST</t>
  </si>
  <si>
    <t>R1 4x20</t>
  </si>
  <si>
    <t>DILUENT</t>
  </si>
  <si>
    <t xml:space="preserve">562616	</t>
  </si>
  <si>
    <t xml:space="preserve"> sdLDL Cholesterol  kit R1 1x19.8, R2 1x8.6	</t>
  </si>
  <si>
    <t>R1 1x19.8, R2 1x8.6</t>
  </si>
  <si>
    <t>Direct Clearance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</si>
</sst>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0.0%"/>
    <numFmt numFmtId="188" formatCode="[$-409]mmm\-yy;@"/>
  </numFmts>
  <fonts count="20" x14ac:knownFonts="1">
    <font>
      <sz val="11"/>
      <color theme="1"/>
      <name val="Aptos"/>
      <family val="2"/>
      <charset val="222"/>
    </font>
    <font>
      <sz val="11"/>
      <color theme="1"/>
      <name val="Aptos"/>
      <family val="2"/>
      <charset val="222"/>
    </font>
    <font>
      <sz val="9"/>
      <color theme="1"/>
      <name val="Aptos"/>
      <family val="2"/>
    </font>
    <font>
      <sz val="11"/>
      <color theme="1"/>
      <name val="Tahoma"/>
      <family val="2"/>
      <scheme val="minor"/>
    </font>
    <font>
      <b/>
      <sz val="9"/>
      <name val="Aptos"/>
      <family val="2"/>
    </font>
    <font>
      <b/>
      <sz val="9"/>
      <color theme="1"/>
      <name val="Aptos"/>
      <family val="2"/>
    </font>
    <font>
      <b/>
      <sz val="7"/>
      <color theme="1"/>
      <name val="Aptos"/>
      <family val="2"/>
    </font>
    <font>
      <sz val="9"/>
      <name val="Aptos"/>
      <family val="2"/>
    </font>
    <font>
      <sz val="7"/>
      <name val="Aptos"/>
      <family val="2"/>
    </font>
    <font>
      <sz val="10"/>
      <name val="Verdana"/>
      <family val="2"/>
    </font>
    <font>
      <sz val="9"/>
      <color indexed="8"/>
      <name val="Aptos"/>
      <family val="2"/>
    </font>
    <font>
      <sz val="8"/>
      <name val="Aptos"/>
      <family val="2"/>
    </font>
    <font>
      <b/>
      <sz val="11"/>
      <color theme="1"/>
      <name val="Aptos"/>
      <family val="2"/>
    </font>
    <font>
      <b/>
      <i/>
      <sz val="9"/>
      <color theme="1"/>
      <name val="Aptos"/>
      <family val="2"/>
    </font>
    <font>
      <b/>
      <sz val="12"/>
      <color theme="1"/>
      <name val="Aptos"/>
      <family val="2"/>
    </font>
    <font>
      <i/>
      <sz val="9"/>
      <color theme="1"/>
      <name val="Aptos"/>
      <family val="2"/>
    </font>
    <font>
      <b/>
      <sz val="7"/>
      <name val="Aptos"/>
      <family val="2"/>
    </font>
    <font>
      <sz val="6"/>
      <name val="Aptos"/>
      <family val="2"/>
    </font>
    <font>
      <sz val="5"/>
      <name val="Aptos"/>
      <family val="2"/>
    </font>
    <font>
      <sz val="1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9" fillId="0" borderId="0"/>
    <xf numFmtId="0" fontId="3" fillId="0" borderId="0"/>
    <xf numFmtId="0" fontId="9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7" fillId="3" borderId="1" xfId="0" applyFont="1" applyFill="1" applyBorder="1"/>
    <xf numFmtId="0" fontId="7" fillId="0" borderId="1" xfId="0" applyFont="1" applyBorder="1"/>
    <xf numFmtId="43" fontId="2" fillId="0" borderId="1" xfId="1" applyFont="1" applyBorder="1" applyAlignment="1">
      <alignment horizontal="right" shrinkToFit="1"/>
    </xf>
    <xf numFmtId="0" fontId="7" fillId="0" borderId="0" xfId="0" applyFont="1"/>
    <xf numFmtId="0" fontId="7" fillId="4" borderId="1" xfId="0" applyFont="1" applyFill="1" applyBorder="1"/>
    <xf numFmtId="0" fontId="10" fillId="3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shrinkToFit="1"/>
    </xf>
    <xf numFmtId="187" fontId="2" fillId="0" borderId="1" xfId="5" applyNumberFormat="1" applyFont="1" applyBorder="1" applyAlignment="1">
      <alignment vertical="center" shrinkToFit="1"/>
    </xf>
    <xf numFmtId="43" fontId="2" fillId="0" borderId="0" xfId="1" applyFont="1" applyAlignment="1">
      <alignment vertical="center" shrinkToFit="1"/>
    </xf>
    <xf numFmtId="43" fontId="2" fillId="0" borderId="1" xfId="1" applyFont="1" applyBorder="1" applyAlignment="1">
      <alignment vertical="center" shrinkToFit="1"/>
    </xf>
    <xf numFmtId="0" fontId="12" fillId="0" borderId="0" xfId="0" applyFont="1" applyAlignment="1">
      <alignment horizontal="center" vertical="center"/>
    </xf>
    <xf numFmtId="188" fontId="15" fillId="0" borderId="0" xfId="0" applyNumberFormat="1" applyFont="1" applyAlignment="1">
      <alignment vertical="center" shrinkToFit="1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11" fillId="0" borderId="1" xfId="0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shrinkToFit="1"/>
    </xf>
    <xf numFmtId="0" fontId="16" fillId="0" borderId="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8" fillId="0" borderId="1" xfId="0" applyFont="1" applyBorder="1"/>
    <xf numFmtId="43" fontId="5" fillId="0" borderId="3" xfId="1" applyFont="1" applyBorder="1" applyAlignment="1">
      <alignment vertical="center" shrinkToFit="1"/>
    </xf>
    <xf numFmtId="43" fontId="6" fillId="0" borderId="2" xfId="1" applyFont="1" applyBorder="1" applyAlignment="1">
      <alignment horizontal="center" vertical="center" wrapText="1" shrinkToFit="1"/>
    </xf>
    <xf numFmtId="0" fontId="6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19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shrinkToFit="1"/>
    </xf>
    <xf numFmtId="43" fontId="7" fillId="0" borderId="1" xfId="1" applyFont="1" applyBorder="1" applyAlignment="1">
      <alignment vertical="center"/>
    </xf>
    <xf numFmtId="43" fontId="7" fillId="0" borderId="1" xfId="1" applyFont="1" applyFill="1" applyBorder="1" applyAlignment="1">
      <alignment vertical="center" shrinkToFit="1"/>
    </xf>
    <xf numFmtId="14" fontId="13" fillId="0" borderId="1" xfId="0" applyNumberFormat="1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13" fillId="0" borderId="3" xfId="0" applyNumberFormat="1" applyFont="1" applyBorder="1" applyAlignment="1">
      <alignment horizontal="center" vertical="center" shrinkToFit="1"/>
    </xf>
    <xf numFmtId="14" fontId="13" fillId="0" borderId="2" xfId="0" applyNumberFormat="1" applyFont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 shrinkToFit="1"/>
    </xf>
  </cellXfs>
  <cellStyles count="6">
    <cellStyle name="Comma" xfId="1" builtinId="3"/>
    <cellStyle name="Normal" xfId="0" builtinId="0"/>
    <cellStyle name="Normal 2" xfId="4" xr:uid="{714BB61C-1A9A-4EAC-B252-61CFE2C1C910}"/>
    <cellStyle name="Normal 4" xfId="3" xr:uid="{128758D6-1790-4B57-B6C0-34CA3B1FD518}"/>
    <cellStyle name="Normal 4 2" xfId="2" xr:uid="{81C1B40A-C476-433F-8936-6A6954E9CA5F}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A2839-2122-445D-8C4E-6B91345D65A2}">
  <dimension ref="A1:I88"/>
  <sheetViews>
    <sheetView tabSelected="1" workbookViewId="0">
      <selection activeCell="J5" sqref="J5"/>
    </sheetView>
  </sheetViews>
  <sheetFormatPr defaultRowHeight="12" x14ac:dyDescent="0.45"/>
  <cols>
    <col min="1" max="1" width="10.5" style="3" customWidth="1"/>
    <col min="2" max="2" width="8.6640625" style="3" customWidth="1"/>
    <col min="3" max="3" width="8.6640625" style="1" customWidth="1"/>
    <col min="4" max="4" width="33.6640625" style="1" customWidth="1"/>
    <col min="5" max="5" width="12" style="2" customWidth="1"/>
    <col min="6" max="6" width="8.33203125" style="2" customWidth="1"/>
    <col min="7" max="8" width="8.83203125" style="12" customWidth="1"/>
    <col min="9" max="9" width="8.08203125" style="10" customWidth="1"/>
    <col min="10" max="16384" width="8.6640625" style="3"/>
  </cols>
  <sheetData>
    <row r="1" spans="1:9" x14ac:dyDescent="0.45">
      <c r="C1" s="3"/>
      <c r="D1" s="3"/>
      <c r="G1" s="3"/>
      <c r="H1" s="3"/>
      <c r="I1" s="15">
        <v>45851</v>
      </c>
    </row>
    <row r="2" spans="1:9" ht="20.5" customHeight="1" x14ac:dyDescent="0.45">
      <c r="A2" s="42" t="s">
        <v>201</v>
      </c>
      <c r="B2" s="42"/>
      <c r="C2" s="42"/>
      <c r="D2" s="42"/>
      <c r="E2" s="42"/>
      <c r="F2" s="42"/>
      <c r="G2" s="42"/>
      <c r="H2" s="42"/>
      <c r="I2" s="42"/>
    </row>
    <row r="3" spans="1:9" ht="13" customHeight="1" x14ac:dyDescent="0.45">
      <c r="C3" s="14"/>
      <c r="D3" s="14"/>
      <c r="E3" s="14"/>
      <c r="F3" s="14"/>
      <c r="G3" s="3"/>
      <c r="H3" s="3"/>
      <c r="I3" s="3"/>
    </row>
    <row r="4" spans="1:9" ht="12" customHeight="1" x14ac:dyDescent="0.45">
      <c r="A4" s="19" t="s">
        <v>199</v>
      </c>
      <c r="B4" s="16"/>
      <c r="C4" s="18"/>
      <c r="D4" s="36" t="s">
        <v>179</v>
      </c>
      <c r="E4" s="40" t="s">
        <v>200</v>
      </c>
      <c r="F4" s="19" t="s">
        <v>191</v>
      </c>
      <c r="G4" s="27" t="s">
        <v>196</v>
      </c>
      <c r="H4" s="27" t="s">
        <v>194</v>
      </c>
      <c r="I4" s="38" t="s">
        <v>180</v>
      </c>
    </row>
    <row r="5" spans="1:9" ht="12" customHeight="1" x14ac:dyDescent="0.45">
      <c r="A5" s="23" t="s">
        <v>198</v>
      </c>
      <c r="B5" s="16"/>
      <c r="C5" s="17" t="s">
        <v>0</v>
      </c>
      <c r="D5" s="37"/>
      <c r="E5" s="41"/>
      <c r="F5" s="23" t="s">
        <v>197</v>
      </c>
      <c r="G5" s="28" t="s">
        <v>195</v>
      </c>
      <c r="H5" s="29" t="s">
        <v>193</v>
      </c>
      <c r="I5" s="39"/>
    </row>
    <row r="6" spans="1:9" ht="12" customHeight="1" x14ac:dyDescent="0.45">
      <c r="A6" s="30" t="str">
        <f t="shared" ref="A6" si="0">B6&amp;C6</f>
        <v xml:space="preserve">RDX-562616	</v>
      </c>
      <c r="B6" s="30" t="s">
        <v>192</v>
      </c>
      <c r="C6" s="31" t="s">
        <v>204</v>
      </c>
      <c r="D6" s="32" t="s">
        <v>205</v>
      </c>
      <c r="E6" s="43" t="s">
        <v>207</v>
      </c>
      <c r="F6" s="32" t="s">
        <v>206</v>
      </c>
      <c r="G6" s="33">
        <v>66000</v>
      </c>
      <c r="H6" s="34">
        <f t="shared" ref="H6" si="1">G6*1.07</f>
        <v>70620</v>
      </c>
      <c r="I6" s="35"/>
    </row>
    <row r="7" spans="1:9" s="7" customFormat="1" ht="12" customHeight="1" x14ac:dyDescent="0.3">
      <c r="A7" s="5" t="str">
        <f>B7&amp;C7</f>
        <v>RDX-AB3800</v>
      </c>
      <c r="B7" s="5" t="s">
        <v>192</v>
      </c>
      <c r="C7" s="4" t="s">
        <v>2</v>
      </c>
      <c r="D7" s="5" t="s">
        <v>3</v>
      </c>
      <c r="E7" s="21" t="s">
        <v>4</v>
      </c>
      <c r="F7" s="22" t="s">
        <v>5</v>
      </c>
      <c r="G7" s="6">
        <v>7800</v>
      </c>
      <c r="H7" s="13">
        <f t="shared" ref="H7:H63" si="2">G7*1.07</f>
        <v>8346</v>
      </c>
      <c r="I7" s="11" t="s">
        <v>185</v>
      </c>
    </row>
    <row r="8" spans="1:9" s="7" customFormat="1" ht="12" customHeight="1" x14ac:dyDescent="0.3">
      <c r="A8" s="5" t="str">
        <f t="shared" ref="A8:A63" si="3">B8&amp;C8</f>
        <v>RDX-AB8301</v>
      </c>
      <c r="B8" s="5" t="s">
        <v>192</v>
      </c>
      <c r="C8" s="4" t="s">
        <v>6</v>
      </c>
      <c r="D8" s="5" t="s">
        <v>7</v>
      </c>
      <c r="E8" s="21" t="s">
        <v>4</v>
      </c>
      <c r="F8" s="22" t="s">
        <v>202</v>
      </c>
      <c r="G8" s="6">
        <v>6800</v>
      </c>
      <c r="H8" s="13">
        <f t="shared" si="2"/>
        <v>7276</v>
      </c>
      <c r="I8" s="11" t="s">
        <v>185</v>
      </c>
    </row>
    <row r="9" spans="1:9" s="7" customFormat="1" ht="12" customHeight="1" x14ac:dyDescent="0.3">
      <c r="A9" s="5" t="str">
        <f t="shared" si="3"/>
        <v>RDX-AD189</v>
      </c>
      <c r="B9" s="5" t="s">
        <v>192</v>
      </c>
      <c r="C9" s="8" t="s">
        <v>8</v>
      </c>
      <c r="D9" s="5" t="s">
        <v>9</v>
      </c>
      <c r="E9" s="21" t="s">
        <v>10</v>
      </c>
      <c r="F9" s="22" t="s">
        <v>11</v>
      </c>
      <c r="G9" s="6">
        <v>8000</v>
      </c>
      <c r="H9" s="13">
        <f t="shared" si="2"/>
        <v>8560</v>
      </c>
      <c r="I9" s="11" t="s">
        <v>186</v>
      </c>
    </row>
    <row r="10" spans="1:9" s="7" customFormat="1" ht="12" customHeight="1" x14ac:dyDescent="0.3">
      <c r="A10" s="5" t="str">
        <f t="shared" si="3"/>
        <v>RDX-AL3801</v>
      </c>
      <c r="B10" s="5" t="s">
        <v>192</v>
      </c>
      <c r="C10" s="4" t="s">
        <v>13</v>
      </c>
      <c r="D10" s="5" t="s">
        <v>14</v>
      </c>
      <c r="E10" s="21" t="s">
        <v>15</v>
      </c>
      <c r="F10" s="22" t="s">
        <v>16</v>
      </c>
      <c r="G10" s="6">
        <v>12800</v>
      </c>
      <c r="H10" s="13">
        <f t="shared" si="2"/>
        <v>13696</v>
      </c>
      <c r="I10" s="11" t="s">
        <v>187</v>
      </c>
    </row>
    <row r="11" spans="1:9" s="7" customFormat="1" ht="12" customHeight="1" x14ac:dyDescent="0.3">
      <c r="A11" s="5" t="str">
        <f t="shared" si="3"/>
        <v>RDX-AP3802</v>
      </c>
      <c r="B11" s="5" t="s">
        <v>192</v>
      </c>
      <c r="C11" s="4" t="s">
        <v>19</v>
      </c>
      <c r="D11" s="5" t="s">
        <v>20</v>
      </c>
      <c r="E11" s="21" t="s">
        <v>21</v>
      </c>
      <c r="F11" s="22" t="s">
        <v>16</v>
      </c>
      <c r="G11" s="6">
        <v>13800</v>
      </c>
      <c r="H11" s="13">
        <f t="shared" si="2"/>
        <v>14766</v>
      </c>
      <c r="I11" s="11" t="s">
        <v>186</v>
      </c>
    </row>
    <row r="12" spans="1:9" s="7" customFormat="1" ht="12" customHeight="1" x14ac:dyDescent="0.3">
      <c r="A12" s="5" t="str">
        <f t="shared" si="3"/>
        <v>RDX-AS3804</v>
      </c>
      <c r="B12" s="5" t="s">
        <v>192</v>
      </c>
      <c r="C12" s="4" t="s">
        <v>22</v>
      </c>
      <c r="D12" s="5" t="s">
        <v>23</v>
      </c>
      <c r="E12" s="21" t="s">
        <v>24</v>
      </c>
      <c r="F12" s="22" t="s">
        <v>16</v>
      </c>
      <c r="G12" s="6">
        <v>12800</v>
      </c>
      <c r="H12" s="13">
        <f t="shared" si="2"/>
        <v>13696</v>
      </c>
      <c r="I12" s="11" t="s">
        <v>189</v>
      </c>
    </row>
    <row r="13" spans="1:9" s="7" customFormat="1" ht="12" customHeight="1" x14ac:dyDescent="0.3">
      <c r="A13" s="5" t="str">
        <f t="shared" si="3"/>
        <v>RDX-BR3807</v>
      </c>
      <c r="B13" s="5" t="s">
        <v>192</v>
      </c>
      <c r="C13" s="4" t="s">
        <v>25</v>
      </c>
      <c r="D13" s="5" t="s">
        <v>26</v>
      </c>
      <c r="E13" s="21" t="s">
        <v>27</v>
      </c>
      <c r="F13" s="22" t="s">
        <v>28</v>
      </c>
      <c r="G13" s="6">
        <v>7800</v>
      </c>
      <c r="H13" s="13">
        <f t="shared" si="2"/>
        <v>8346</v>
      </c>
      <c r="I13" s="11" t="s">
        <v>185</v>
      </c>
    </row>
    <row r="14" spans="1:9" s="7" customFormat="1" ht="12" customHeight="1" x14ac:dyDescent="0.3">
      <c r="A14" s="5" t="str">
        <f t="shared" si="3"/>
        <v>RDX-BR3859</v>
      </c>
      <c r="B14" s="5" t="s">
        <v>192</v>
      </c>
      <c r="C14" s="4" t="s">
        <v>29</v>
      </c>
      <c r="D14" s="5" t="s">
        <v>30</v>
      </c>
      <c r="E14" s="21" t="s">
        <v>27</v>
      </c>
      <c r="F14" s="22" t="s">
        <v>31</v>
      </c>
      <c r="G14" s="6">
        <v>6800</v>
      </c>
      <c r="H14" s="13">
        <f t="shared" si="2"/>
        <v>7276</v>
      </c>
      <c r="I14" s="11" t="s">
        <v>185</v>
      </c>
    </row>
    <row r="15" spans="1:9" s="7" customFormat="1" ht="12" customHeight="1" x14ac:dyDescent="0.3">
      <c r="A15" s="5" t="str">
        <f t="shared" si="3"/>
        <v>RDX-BR411</v>
      </c>
      <c r="B15" s="5" t="s">
        <v>192</v>
      </c>
      <c r="C15" s="8" t="s">
        <v>32</v>
      </c>
      <c r="D15" s="5" t="s">
        <v>33</v>
      </c>
      <c r="E15" s="21" t="s">
        <v>27</v>
      </c>
      <c r="F15" s="22" t="s">
        <v>34</v>
      </c>
      <c r="G15" s="6">
        <v>3800</v>
      </c>
      <c r="H15" s="13">
        <f t="shared" si="2"/>
        <v>4066.0000000000005</v>
      </c>
      <c r="I15" s="11" t="s">
        <v>185</v>
      </c>
    </row>
    <row r="16" spans="1:9" s="7" customFormat="1" ht="12" customHeight="1" x14ac:dyDescent="0.3">
      <c r="A16" s="5" t="str">
        <f t="shared" si="3"/>
        <v>RDX-CA3871</v>
      </c>
      <c r="B16" s="5" t="s">
        <v>192</v>
      </c>
      <c r="C16" s="4" t="s">
        <v>35</v>
      </c>
      <c r="D16" s="20" t="s">
        <v>36</v>
      </c>
      <c r="E16" s="21" t="s">
        <v>37</v>
      </c>
      <c r="F16" s="22" t="s">
        <v>5</v>
      </c>
      <c r="G16" s="6">
        <v>15800</v>
      </c>
      <c r="H16" s="13">
        <f t="shared" si="2"/>
        <v>16906</v>
      </c>
      <c r="I16" s="11" t="s">
        <v>183</v>
      </c>
    </row>
    <row r="17" spans="1:9" s="7" customFormat="1" ht="12" customHeight="1" x14ac:dyDescent="0.3">
      <c r="A17" s="5" t="str">
        <f t="shared" si="3"/>
        <v>RDX-CH3810</v>
      </c>
      <c r="B17" s="5" t="s">
        <v>192</v>
      </c>
      <c r="C17" s="4" t="s">
        <v>40</v>
      </c>
      <c r="D17" s="5" t="s">
        <v>41</v>
      </c>
      <c r="E17" s="21" t="s">
        <v>39</v>
      </c>
      <c r="F17" s="22" t="s">
        <v>5</v>
      </c>
      <c r="G17" s="6">
        <v>18000</v>
      </c>
      <c r="H17" s="13">
        <f t="shared" si="2"/>
        <v>19260</v>
      </c>
      <c r="I17" s="11" t="s">
        <v>185</v>
      </c>
    </row>
    <row r="18" spans="1:9" s="7" customFormat="1" ht="12" customHeight="1" x14ac:dyDescent="0.3">
      <c r="A18" s="5" t="str">
        <f t="shared" si="3"/>
        <v>RDX-CK3812</v>
      </c>
      <c r="B18" s="5" t="s">
        <v>192</v>
      </c>
      <c r="C18" s="4" t="s">
        <v>42</v>
      </c>
      <c r="D18" s="5" t="s">
        <v>43</v>
      </c>
      <c r="E18" s="21" t="s">
        <v>44</v>
      </c>
      <c r="F18" s="22" t="s">
        <v>45</v>
      </c>
      <c r="G18" s="6">
        <v>12400</v>
      </c>
      <c r="H18" s="13">
        <f t="shared" si="2"/>
        <v>13268</v>
      </c>
      <c r="I18" s="11" t="s">
        <v>188</v>
      </c>
    </row>
    <row r="19" spans="1:9" s="7" customFormat="1" ht="12" customHeight="1" x14ac:dyDescent="0.3">
      <c r="A19" s="5" t="str">
        <f t="shared" si="3"/>
        <v>RDX-CR3814</v>
      </c>
      <c r="B19" s="5" t="s">
        <v>192</v>
      </c>
      <c r="C19" s="4" t="s">
        <v>47</v>
      </c>
      <c r="D19" s="5" t="s">
        <v>48</v>
      </c>
      <c r="E19" s="21" t="s">
        <v>49</v>
      </c>
      <c r="F19" s="22" t="s">
        <v>50</v>
      </c>
      <c r="G19" s="6">
        <v>4900</v>
      </c>
      <c r="H19" s="13">
        <f t="shared" si="2"/>
        <v>5243</v>
      </c>
      <c r="I19" s="11" t="s">
        <v>185</v>
      </c>
    </row>
    <row r="20" spans="1:9" s="7" customFormat="1" ht="12" customHeight="1" x14ac:dyDescent="0.3">
      <c r="A20" s="5" t="str">
        <f t="shared" si="3"/>
        <v>RDX-FN3888</v>
      </c>
      <c r="B20" s="5" t="s">
        <v>192</v>
      </c>
      <c r="C20" s="4" t="s">
        <v>51</v>
      </c>
      <c r="D20" s="5" t="s">
        <v>52</v>
      </c>
      <c r="E20" s="21" t="s">
        <v>46</v>
      </c>
      <c r="F20" s="22" t="s">
        <v>53</v>
      </c>
      <c r="G20" s="6">
        <v>72800</v>
      </c>
      <c r="H20" s="13">
        <f t="shared" si="2"/>
        <v>77896</v>
      </c>
      <c r="I20" s="11" t="s">
        <v>184</v>
      </c>
    </row>
    <row r="21" spans="1:9" s="7" customFormat="1" ht="12" customHeight="1" x14ac:dyDescent="0.3">
      <c r="A21" s="5" t="str">
        <f t="shared" si="3"/>
        <v>RDX-FR4030</v>
      </c>
      <c r="B21" s="5" t="s">
        <v>192</v>
      </c>
      <c r="C21" s="4" t="s">
        <v>54</v>
      </c>
      <c r="D21" s="5" t="s">
        <v>55</v>
      </c>
      <c r="E21" s="21" t="s">
        <v>38</v>
      </c>
      <c r="F21" s="22" t="s">
        <v>56</v>
      </c>
      <c r="G21" s="6">
        <v>29800</v>
      </c>
      <c r="H21" s="13">
        <f t="shared" si="2"/>
        <v>31886.000000000004</v>
      </c>
      <c r="I21" s="11" t="s">
        <v>186</v>
      </c>
    </row>
    <row r="22" spans="1:9" s="7" customFormat="1" ht="12" customHeight="1" x14ac:dyDescent="0.3">
      <c r="A22" s="5" t="str">
        <f t="shared" si="3"/>
        <v>RDX-GL2614</v>
      </c>
      <c r="B22" s="5" t="s">
        <v>192</v>
      </c>
      <c r="C22" s="8" t="s">
        <v>57</v>
      </c>
      <c r="D22" s="5" t="s">
        <v>58</v>
      </c>
      <c r="E22" s="21" t="s">
        <v>59</v>
      </c>
      <c r="F22" s="22" t="s">
        <v>60</v>
      </c>
      <c r="G22" s="6">
        <v>9000</v>
      </c>
      <c r="H22" s="13">
        <f t="shared" si="2"/>
        <v>9630</v>
      </c>
      <c r="I22" s="11" t="s">
        <v>185</v>
      </c>
    </row>
    <row r="23" spans="1:9" s="7" customFormat="1" ht="12" customHeight="1" x14ac:dyDescent="0.3">
      <c r="A23" s="5" t="str">
        <f t="shared" si="3"/>
        <v>RDX-GL3816</v>
      </c>
      <c r="B23" s="5" t="s">
        <v>192</v>
      </c>
      <c r="C23" s="4" t="s">
        <v>62</v>
      </c>
      <c r="D23" s="5" t="s">
        <v>61</v>
      </c>
      <c r="E23" s="21" t="s">
        <v>63</v>
      </c>
      <c r="F23" s="22" t="s">
        <v>64</v>
      </c>
      <c r="G23" s="6">
        <v>8000</v>
      </c>
      <c r="H23" s="13">
        <f t="shared" si="2"/>
        <v>8560</v>
      </c>
      <c r="I23" s="11" t="s">
        <v>185</v>
      </c>
    </row>
    <row r="24" spans="1:9" s="7" customFormat="1" ht="12" customHeight="1" x14ac:dyDescent="0.3">
      <c r="A24" s="5" t="str">
        <f t="shared" si="3"/>
        <v>RDX-GL3881</v>
      </c>
      <c r="B24" s="5" t="s">
        <v>192</v>
      </c>
      <c r="C24" s="4" t="s">
        <v>65</v>
      </c>
      <c r="D24" s="5" t="s">
        <v>66</v>
      </c>
      <c r="E24" s="21" t="s">
        <v>67</v>
      </c>
      <c r="F24" s="22" t="s">
        <v>68</v>
      </c>
      <c r="G24" s="6">
        <v>6800</v>
      </c>
      <c r="H24" s="13">
        <f t="shared" si="2"/>
        <v>7276</v>
      </c>
      <c r="I24" s="11" t="s">
        <v>185</v>
      </c>
    </row>
    <row r="25" spans="1:9" s="7" customFormat="1" ht="12" customHeight="1" x14ac:dyDescent="0.3">
      <c r="A25" s="5" t="str">
        <f t="shared" si="3"/>
        <v>RDX-GT3817</v>
      </c>
      <c r="B25" s="5" t="s">
        <v>192</v>
      </c>
      <c r="C25" s="4" t="s">
        <v>69</v>
      </c>
      <c r="D25" s="5" t="s">
        <v>70</v>
      </c>
      <c r="E25" s="21" t="s">
        <v>12</v>
      </c>
      <c r="F25" s="22" t="s">
        <v>16</v>
      </c>
      <c r="G25" s="6">
        <v>15800</v>
      </c>
      <c r="H25" s="13">
        <f t="shared" si="2"/>
        <v>16906</v>
      </c>
      <c r="I25" s="11" t="s">
        <v>186</v>
      </c>
    </row>
    <row r="26" spans="1:9" s="7" customFormat="1" ht="12" customHeight="1" x14ac:dyDescent="0.3">
      <c r="A26" s="5" t="str">
        <f t="shared" si="3"/>
        <v>RDX-GT3874</v>
      </c>
      <c r="B26" s="5" t="s">
        <v>192</v>
      </c>
      <c r="C26" s="4" t="s">
        <v>71</v>
      </c>
      <c r="D26" s="20" t="s">
        <v>72</v>
      </c>
      <c r="E26" s="21" t="s">
        <v>12</v>
      </c>
      <c r="F26" s="22" t="s">
        <v>73</v>
      </c>
      <c r="G26" s="6">
        <v>9800</v>
      </c>
      <c r="H26" s="13">
        <f t="shared" si="2"/>
        <v>10486</v>
      </c>
      <c r="I26" s="11" t="s">
        <v>186</v>
      </c>
    </row>
    <row r="27" spans="1:9" s="7" customFormat="1" ht="12" customHeight="1" x14ac:dyDescent="0.3">
      <c r="A27" s="5" t="str">
        <f t="shared" si="3"/>
        <v>RDX-GT523</v>
      </c>
      <c r="B27" s="5" t="s">
        <v>192</v>
      </c>
      <c r="C27" s="8" t="s">
        <v>74</v>
      </c>
      <c r="D27" s="5" t="s">
        <v>75</v>
      </c>
      <c r="E27" s="21" t="s">
        <v>12</v>
      </c>
      <c r="F27" s="22" t="s">
        <v>1</v>
      </c>
      <c r="G27" s="6">
        <v>10800</v>
      </c>
      <c r="H27" s="13">
        <f t="shared" si="2"/>
        <v>11556</v>
      </c>
      <c r="I27" s="11" t="s">
        <v>186</v>
      </c>
    </row>
    <row r="28" spans="1:9" s="7" customFormat="1" ht="12" customHeight="1" x14ac:dyDescent="0.3">
      <c r="A28" s="5" t="str">
        <f t="shared" si="3"/>
        <v>RDX-GT8146</v>
      </c>
      <c r="B28" s="5" t="s">
        <v>192</v>
      </c>
      <c r="C28" s="4" t="s">
        <v>76</v>
      </c>
      <c r="D28" s="5" t="s">
        <v>77</v>
      </c>
      <c r="E28" s="21" t="s">
        <v>12</v>
      </c>
      <c r="F28" s="22" t="s">
        <v>78</v>
      </c>
      <c r="G28" s="6">
        <v>11000</v>
      </c>
      <c r="H28" s="13">
        <f t="shared" si="2"/>
        <v>11770</v>
      </c>
      <c r="I28" s="11" t="s">
        <v>186</v>
      </c>
    </row>
    <row r="29" spans="1:9" s="7" customFormat="1" ht="12" customHeight="1" x14ac:dyDescent="0.3">
      <c r="A29" s="5" t="str">
        <f t="shared" si="3"/>
        <v>RDX-GT8320</v>
      </c>
      <c r="B29" s="5" t="s">
        <v>192</v>
      </c>
      <c r="C29" s="4" t="s">
        <v>79</v>
      </c>
      <c r="D29" s="5" t="s">
        <v>80</v>
      </c>
      <c r="E29" s="21" t="s">
        <v>12</v>
      </c>
      <c r="F29" s="22" t="s">
        <v>17</v>
      </c>
      <c r="G29" s="6">
        <v>8400</v>
      </c>
      <c r="H29" s="13">
        <f t="shared" si="2"/>
        <v>8988</v>
      </c>
      <c r="I29" s="11" t="s">
        <v>186</v>
      </c>
    </row>
    <row r="30" spans="1:9" s="7" customFormat="1" ht="12" customHeight="1" x14ac:dyDescent="0.3">
      <c r="A30" s="5" t="str">
        <f t="shared" si="3"/>
        <v>RDX-HA3830</v>
      </c>
      <c r="B30" s="5" t="s">
        <v>192</v>
      </c>
      <c r="C30" s="4" t="s">
        <v>82</v>
      </c>
      <c r="D30" s="5" t="s">
        <v>83</v>
      </c>
      <c r="E30" s="21" t="s">
        <v>46</v>
      </c>
      <c r="F30" s="22" t="s">
        <v>84</v>
      </c>
      <c r="G30" s="6">
        <v>84000</v>
      </c>
      <c r="H30" s="13">
        <f t="shared" si="2"/>
        <v>89880</v>
      </c>
      <c r="I30" s="11" t="s">
        <v>182</v>
      </c>
    </row>
    <row r="31" spans="1:9" s="7" customFormat="1" ht="12" customHeight="1" x14ac:dyDescent="0.3">
      <c r="A31" s="5" t="str">
        <f t="shared" si="3"/>
        <v>RDX-LC2389</v>
      </c>
      <c r="B31" s="5" t="s">
        <v>192</v>
      </c>
      <c r="C31" s="8" t="s">
        <v>85</v>
      </c>
      <c r="D31" s="5" t="s">
        <v>86</v>
      </c>
      <c r="E31" s="21" t="s">
        <v>12</v>
      </c>
      <c r="F31" s="22" t="s">
        <v>87</v>
      </c>
      <c r="G31" s="6">
        <v>9800</v>
      </c>
      <c r="H31" s="13">
        <f t="shared" si="2"/>
        <v>10486</v>
      </c>
      <c r="I31" s="11" t="s">
        <v>186</v>
      </c>
    </row>
    <row r="32" spans="1:9" s="7" customFormat="1" ht="12" customHeight="1" x14ac:dyDescent="0.3">
      <c r="A32" s="5" t="str">
        <f t="shared" si="3"/>
        <v>RDX-LC3980</v>
      </c>
      <c r="B32" s="5" t="s">
        <v>192</v>
      </c>
      <c r="C32" s="4" t="s">
        <v>88</v>
      </c>
      <c r="D32" s="5" t="s">
        <v>89</v>
      </c>
      <c r="E32" s="21" t="s">
        <v>12</v>
      </c>
      <c r="F32" s="22" t="s">
        <v>90</v>
      </c>
      <c r="G32" s="6">
        <v>6800</v>
      </c>
      <c r="H32" s="13">
        <f t="shared" si="2"/>
        <v>7276</v>
      </c>
      <c r="I32" s="11" t="s">
        <v>186</v>
      </c>
    </row>
    <row r="33" spans="1:9" s="7" customFormat="1" ht="12" customHeight="1" x14ac:dyDescent="0.3">
      <c r="A33" s="5" t="str">
        <f t="shared" si="3"/>
        <v>RDX-LD3818</v>
      </c>
      <c r="B33" s="5" t="s">
        <v>192</v>
      </c>
      <c r="C33" s="4" t="s">
        <v>91</v>
      </c>
      <c r="D33" s="20" t="s">
        <v>92</v>
      </c>
      <c r="E33" s="21" t="s">
        <v>10</v>
      </c>
      <c r="F33" s="22" t="s">
        <v>93</v>
      </c>
      <c r="G33" s="6">
        <v>6800</v>
      </c>
      <c r="H33" s="13">
        <f t="shared" si="2"/>
        <v>7276</v>
      </c>
      <c r="I33" s="11" t="s">
        <v>186</v>
      </c>
    </row>
    <row r="34" spans="1:9" s="7" customFormat="1" ht="12" customHeight="1" x14ac:dyDescent="0.3">
      <c r="A34" s="5" t="str">
        <f t="shared" si="3"/>
        <v>RDX-LI3837</v>
      </c>
      <c r="B34" s="5" t="s">
        <v>192</v>
      </c>
      <c r="C34" s="4" t="s">
        <v>94</v>
      </c>
      <c r="D34" s="5" t="s">
        <v>95</v>
      </c>
      <c r="E34" s="21" t="s">
        <v>12</v>
      </c>
      <c r="F34" s="22" t="s">
        <v>96</v>
      </c>
      <c r="G34" s="6">
        <v>9800</v>
      </c>
      <c r="H34" s="13">
        <f t="shared" si="2"/>
        <v>10486</v>
      </c>
      <c r="I34" s="11" t="s">
        <v>186</v>
      </c>
    </row>
    <row r="35" spans="1:9" s="7" customFormat="1" ht="12" customHeight="1" x14ac:dyDescent="0.3">
      <c r="A35" s="5" t="str">
        <f t="shared" si="3"/>
        <v>RDX-MA2426</v>
      </c>
      <c r="B35" s="5" t="s">
        <v>192</v>
      </c>
      <c r="C35" s="8" t="s">
        <v>97</v>
      </c>
      <c r="D35" s="5" t="s">
        <v>98</v>
      </c>
      <c r="E35" s="24" t="s">
        <v>18</v>
      </c>
      <c r="F35" s="22" t="s">
        <v>99</v>
      </c>
      <c r="G35" s="6">
        <v>12800</v>
      </c>
      <c r="H35" s="13">
        <f t="shared" si="2"/>
        <v>13696</v>
      </c>
      <c r="I35" s="11" t="s">
        <v>185</v>
      </c>
    </row>
    <row r="36" spans="1:9" s="7" customFormat="1" ht="12" customHeight="1" x14ac:dyDescent="0.3">
      <c r="A36" s="5" t="str">
        <f t="shared" si="3"/>
        <v>RDX-MA8056</v>
      </c>
      <c r="B36" s="5" t="s">
        <v>192</v>
      </c>
      <c r="C36" s="4" t="s">
        <v>100</v>
      </c>
      <c r="D36" s="5" t="s">
        <v>101</v>
      </c>
      <c r="E36" s="25" t="s">
        <v>102</v>
      </c>
      <c r="F36" s="22" t="s">
        <v>103</v>
      </c>
      <c r="G36" s="6">
        <v>32000</v>
      </c>
      <c r="H36" s="13">
        <f t="shared" si="2"/>
        <v>34240</v>
      </c>
      <c r="I36" s="11" t="s">
        <v>185</v>
      </c>
    </row>
    <row r="37" spans="1:9" s="7" customFormat="1" ht="12" customHeight="1" x14ac:dyDescent="0.3">
      <c r="A37" s="5" t="str">
        <f t="shared" si="3"/>
        <v>RDX-MA8325</v>
      </c>
      <c r="B37" s="5" t="s">
        <v>192</v>
      </c>
      <c r="C37" s="4" t="s">
        <v>104</v>
      </c>
      <c r="D37" s="5" t="s">
        <v>105</v>
      </c>
      <c r="E37" s="25" t="s">
        <v>102</v>
      </c>
      <c r="F37" s="22" t="s">
        <v>106</v>
      </c>
      <c r="G37" s="6">
        <v>9800</v>
      </c>
      <c r="H37" s="13">
        <f t="shared" si="2"/>
        <v>10486</v>
      </c>
      <c r="I37" s="11" t="s">
        <v>185</v>
      </c>
    </row>
    <row r="38" spans="1:9" s="7" customFormat="1" ht="12" customHeight="1" x14ac:dyDescent="0.3">
      <c r="A38" s="5" t="str">
        <f t="shared" si="3"/>
        <v>RDX-MG3880</v>
      </c>
      <c r="B38" s="5" t="s">
        <v>192</v>
      </c>
      <c r="C38" s="4" t="s">
        <v>107</v>
      </c>
      <c r="D38" s="20" t="s">
        <v>108</v>
      </c>
      <c r="E38" s="21" t="s">
        <v>109</v>
      </c>
      <c r="F38" s="22" t="s">
        <v>110</v>
      </c>
      <c r="G38" s="6">
        <v>6800</v>
      </c>
      <c r="H38" s="13">
        <f t="shared" si="2"/>
        <v>7276</v>
      </c>
      <c r="I38" s="11" t="s">
        <v>183</v>
      </c>
    </row>
    <row r="39" spans="1:9" s="7" customFormat="1" ht="12" customHeight="1" x14ac:dyDescent="0.3">
      <c r="A39" s="5" t="str">
        <f t="shared" si="3"/>
        <v>RDX-NX2332</v>
      </c>
      <c r="B39" s="5" t="s">
        <v>192</v>
      </c>
      <c r="C39" s="8" t="s">
        <v>111</v>
      </c>
      <c r="D39" s="5" t="s">
        <v>112</v>
      </c>
      <c r="E39" s="21" t="s">
        <v>12</v>
      </c>
      <c r="F39" s="22" t="s">
        <v>113</v>
      </c>
      <c r="G39" s="6">
        <v>35000</v>
      </c>
      <c r="H39" s="13">
        <f t="shared" si="2"/>
        <v>37450</v>
      </c>
      <c r="I39" s="11" t="s">
        <v>190</v>
      </c>
    </row>
    <row r="40" spans="1:9" s="7" customFormat="1" ht="12" customHeight="1" x14ac:dyDescent="0.3">
      <c r="A40" s="5" t="str">
        <f t="shared" si="3"/>
        <v>RDX-PD2616</v>
      </c>
      <c r="B40" s="5" t="s">
        <v>192</v>
      </c>
      <c r="C40" s="8" t="s">
        <v>114</v>
      </c>
      <c r="D40" s="5" t="s">
        <v>115</v>
      </c>
      <c r="E40" s="21" t="s">
        <v>116</v>
      </c>
      <c r="F40" s="22" t="s">
        <v>117</v>
      </c>
      <c r="G40" s="6">
        <v>16400</v>
      </c>
      <c r="H40" s="13">
        <f t="shared" si="2"/>
        <v>17548</v>
      </c>
      <c r="I40" s="11" t="s">
        <v>186</v>
      </c>
    </row>
    <row r="41" spans="1:9" s="7" customFormat="1" ht="12" customHeight="1" x14ac:dyDescent="0.3">
      <c r="A41" s="5" t="str">
        <f t="shared" si="3"/>
        <v>RDX-PD410</v>
      </c>
      <c r="B41" s="5" t="s">
        <v>192</v>
      </c>
      <c r="C41" s="8" t="s">
        <v>118</v>
      </c>
      <c r="D41" s="5" t="s">
        <v>115</v>
      </c>
      <c r="E41" s="21" t="s">
        <v>10</v>
      </c>
      <c r="F41" s="22" t="s">
        <v>119</v>
      </c>
      <c r="G41" s="6">
        <v>9800</v>
      </c>
      <c r="H41" s="13">
        <f t="shared" si="2"/>
        <v>10486</v>
      </c>
      <c r="I41" s="11" t="s">
        <v>186</v>
      </c>
    </row>
    <row r="42" spans="1:9" s="7" customFormat="1" ht="12" customHeight="1" x14ac:dyDescent="0.3">
      <c r="A42" s="5" t="str">
        <f t="shared" si="3"/>
        <v>RDX-PH3872</v>
      </c>
      <c r="B42" s="5" t="s">
        <v>192</v>
      </c>
      <c r="C42" s="4" t="s">
        <v>120</v>
      </c>
      <c r="D42" s="5" t="s">
        <v>121</v>
      </c>
      <c r="E42" s="21" t="s">
        <v>10</v>
      </c>
      <c r="F42" s="22" t="s">
        <v>110</v>
      </c>
      <c r="G42" s="6">
        <v>9800</v>
      </c>
      <c r="H42" s="13">
        <f t="shared" si="2"/>
        <v>10486</v>
      </c>
      <c r="I42" s="11" t="s">
        <v>183</v>
      </c>
    </row>
    <row r="43" spans="1:9" s="7" customFormat="1" ht="12" customHeight="1" x14ac:dyDescent="0.3">
      <c r="A43" s="5" t="str">
        <f t="shared" si="3"/>
        <v>RDX-RB1007</v>
      </c>
      <c r="B43" s="5" t="s">
        <v>192</v>
      </c>
      <c r="C43" s="8" t="s">
        <v>122</v>
      </c>
      <c r="D43" s="5" t="s">
        <v>123</v>
      </c>
      <c r="E43" s="21" t="s">
        <v>38</v>
      </c>
      <c r="F43" s="22" t="s">
        <v>1</v>
      </c>
      <c r="G43" s="6">
        <v>12400</v>
      </c>
      <c r="H43" s="13">
        <f t="shared" si="2"/>
        <v>13268</v>
      </c>
      <c r="I43" s="11" t="s">
        <v>186</v>
      </c>
    </row>
    <row r="44" spans="1:9" s="7" customFormat="1" ht="12" customHeight="1" x14ac:dyDescent="0.3">
      <c r="A44" s="5" t="str">
        <f t="shared" si="3"/>
        <v>RDX-RB1008</v>
      </c>
      <c r="B44" s="5" t="s">
        <v>192</v>
      </c>
      <c r="C44" s="8" t="s">
        <v>124</v>
      </c>
      <c r="D44" s="5" t="s">
        <v>123</v>
      </c>
      <c r="E44" s="21" t="s">
        <v>38</v>
      </c>
      <c r="F44" s="22" t="s">
        <v>125</v>
      </c>
      <c r="G44" s="6">
        <v>28800</v>
      </c>
      <c r="H44" s="13">
        <f t="shared" si="2"/>
        <v>30816</v>
      </c>
      <c r="I44" s="11" t="s">
        <v>186</v>
      </c>
    </row>
    <row r="45" spans="1:9" s="7" customFormat="1" ht="12" customHeight="1" x14ac:dyDescent="0.3">
      <c r="A45" s="5" t="str">
        <f t="shared" si="3"/>
        <v>RDX-RS504</v>
      </c>
      <c r="B45" s="5" t="s">
        <v>192</v>
      </c>
      <c r="C45" s="8" t="s">
        <v>126</v>
      </c>
      <c r="D45" s="5" t="s">
        <v>127</v>
      </c>
      <c r="E45" s="21" t="s">
        <v>38</v>
      </c>
      <c r="F45" s="22" t="s">
        <v>128</v>
      </c>
      <c r="G45" s="6">
        <v>10800</v>
      </c>
      <c r="H45" s="13">
        <f t="shared" si="2"/>
        <v>11556</v>
      </c>
      <c r="I45" s="11" t="s">
        <v>186</v>
      </c>
    </row>
    <row r="46" spans="1:9" s="7" customFormat="1" ht="12" customHeight="1" x14ac:dyDescent="0.3">
      <c r="A46" s="5" t="str">
        <f t="shared" si="3"/>
        <v>RDX-RS505</v>
      </c>
      <c r="B46" s="5" t="s">
        <v>192</v>
      </c>
      <c r="C46" s="8" t="s">
        <v>129</v>
      </c>
      <c r="D46" s="5" t="s">
        <v>127</v>
      </c>
      <c r="E46" s="21" t="s">
        <v>38</v>
      </c>
      <c r="F46" s="22" t="s">
        <v>130</v>
      </c>
      <c r="G46" s="6">
        <v>12800</v>
      </c>
      <c r="H46" s="13">
        <f t="shared" si="2"/>
        <v>13696</v>
      </c>
      <c r="I46" s="11" t="s">
        <v>186</v>
      </c>
    </row>
    <row r="47" spans="1:9" s="7" customFormat="1" ht="12" customHeight="1" x14ac:dyDescent="0.3">
      <c r="A47" s="5" t="str">
        <f t="shared" si="3"/>
        <v>RDX-SD124</v>
      </c>
      <c r="B47" s="5" t="s">
        <v>192</v>
      </c>
      <c r="C47" s="8" t="s">
        <v>131</v>
      </c>
      <c r="D47" s="5" t="s">
        <v>132</v>
      </c>
      <c r="E47" s="21" t="s">
        <v>203</v>
      </c>
      <c r="F47" s="22" t="s">
        <v>133</v>
      </c>
      <c r="G47" s="6">
        <v>6800</v>
      </c>
      <c r="H47" s="13">
        <f t="shared" si="2"/>
        <v>7276</v>
      </c>
      <c r="I47" s="11" t="s">
        <v>186</v>
      </c>
    </row>
    <row r="48" spans="1:9" s="7" customFormat="1" ht="12" customHeight="1" x14ac:dyDescent="0.3">
      <c r="A48" s="5" t="str">
        <f t="shared" si="3"/>
        <v>RDX-SD125</v>
      </c>
      <c r="B48" s="5" t="s">
        <v>192</v>
      </c>
      <c r="C48" s="8" t="s">
        <v>134</v>
      </c>
      <c r="D48" s="5" t="s">
        <v>135</v>
      </c>
      <c r="E48" s="21" t="s">
        <v>12</v>
      </c>
      <c r="F48" s="22" t="s">
        <v>11</v>
      </c>
      <c r="G48" s="6">
        <v>14000</v>
      </c>
      <c r="H48" s="13">
        <f t="shared" si="2"/>
        <v>14980</v>
      </c>
      <c r="I48" s="11" t="s">
        <v>186</v>
      </c>
    </row>
    <row r="49" spans="1:9" s="7" customFormat="1" ht="12" customHeight="1" x14ac:dyDescent="0.3">
      <c r="A49" s="5" t="str">
        <f t="shared" si="3"/>
        <v>RDX-SI3821</v>
      </c>
      <c r="B49" s="5" t="s">
        <v>192</v>
      </c>
      <c r="C49" s="4" t="s">
        <v>136</v>
      </c>
      <c r="D49" s="5" t="s">
        <v>137</v>
      </c>
      <c r="E49" s="21" t="s">
        <v>138</v>
      </c>
      <c r="F49" s="22" t="s">
        <v>93</v>
      </c>
      <c r="G49" s="6">
        <v>7800</v>
      </c>
      <c r="H49" s="13">
        <f t="shared" si="2"/>
        <v>8346</v>
      </c>
      <c r="I49" s="11" t="s">
        <v>184</v>
      </c>
    </row>
    <row r="50" spans="1:9" s="7" customFormat="1" ht="12" customHeight="1" x14ac:dyDescent="0.3">
      <c r="A50" s="5" t="str">
        <f t="shared" si="3"/>
        <v>RDX-SI8049</v>
      </c>
      <c r="B50" s="5" t="s">
        <v>192</v>
      </c>
      <c r="C50" s="4" t="s">
        <v>139</v>
      </c>
      <c r="D50" s="5" t="s">
        <v>140</v>
      </c>
      <c r="E50" s="21" t="s">
        <v>138</v>
      </c>
      <c r="F50" s="22" t="s">
        <v>141</v>
      </c>
      <c r="G50" s="6">
        <v>8800</v>
      </c>
      <c r="H50" s="13">
        <f t="shared" si="2"/>
        <v>9416</v>
      </c>
      <c r="I50" s="11" t="s">
        <v>184</v>
      </c>
    </row>
    <row r="51" spans="1:9" s="7" customFormat="1" ht="12" customHeight="1" x14ac:dyDescent="0.3">
      <c r="A51" s="5" t="str">
        <f t="shared" si="3"/>
        <v>RDX-SI8330</v>
      </c>
      <c r="B51" s="5" t="s">
        <v>192</v>
      </c>
      <c r="C51" s="9" t="s">
        <v>142</v>
      </c>
      <c r="D51" s="5" t="s">
        <v>143</v>
      </c>
      <c r="E51" s="21" t="s">
        <v>138</v>
      </c>
      <c r="F51" s="22" t="s">
        <v>17</v>
      </c>
      <c r="G51" s="6">
        <v>8000</v>
      </c>
      <c r="H51" s="13">
        <f t="shared" si="2"/>
        <v>8560</v>
      </c>
      <c r="I51" s="11" t="s">
        <v>184</v>
      </c>
    </row>
    <row r="52" spans="1:9" s="7" customFormat="1" ht="12" customHeight="1" x14ac:dyDescent="0.3">
      <c r="A52" s="5" t="str">
        <f t="shared" si="3"/>
        <v>RDX-TF3831</v>
      </c>
      <c r="B52" s="5" t="s">
        <v>192</v>
      </c>
      <c r="C52" s="4" t="s">
        <v>144</v>
      </c>
      <c r="D52" s="5" t="s">
        <v>145</v>
      </c>
      <c r="E52" s="24" t="s">
        <v>18</v>
      </c>
      <c r="F52" s="22" t="s">
        <v>146</v>
      </c>
      <c r="G52" s="6">
        <v>48800</v>
      </c>
      <c r="H52" s="13">
        <f t="shared" si="2"/>
        <v>52216</v>
      </c>
      <c r="I52" s="11" t="s">
        <v>184</v>
      </c>
    </row>
    <row r="53" spans="1:9" s="7" customFormat="1" ht="12" customHeight="1" x14ac:dyDescent="0.3">
      <c r="A53" s="5" t="str">
        <f t="shared" si="3"/>
        <v>RDX-TI4064</v>
      </c>
      <c r="B53" s="5" t="s">
        <v>192</v>
      </c>
      <c r="C53" s="4" t="s">
        <v>147</v>
      </c>
      <c r="D53" s="20" t="s">
        <v>148</v>
      </c>
      <c r="E53" s="21" t="s">
        <v>12</v>
      </c>
      <c r="F53" s="22" t="s">
        <v>149</v>
      </c>
      <c r="G53" s="6">
        <v>25000</v>
      </c>
      <c r="H53" s="13">
        <f t="shared" si="2"/>
        <v>26750</v>
      </c>
      <c r="I53" s="11" t="s">
        <v>185</v>
      </c>
    </row>
    <row r="54" spans="1:9" s="7" customFormat="1" ht="12" customHeight="1" x14ac:dyDescent="0.3">
      <c r="A54" s="5" t="str">
        <f t="shared" si="3"/>
        <v>RDX-TI8065</v>
      </c>
      <c r="B54" s="5" t="s">
        <v>192</v>
      </c>
      <c r="C54" s="4" t="s">
        <v>150</v>
      </c>
      <c r="D54" s="5" t="s">
        <v>151</v>
      </c>
      <c r="E54" s="21" t="s">
        <v>12</v>
      </c>
      <c r="F54" s="22" t="s">
        <v>152</v>
      </c>
      <c r="G54" s="6">
        <v>9800</v>
      </c>
      <c r="H54" s="13">
        <f t="shared" si="2"/>
        <v>10486</v>
      </c>
      <c r="I54" s="11" t="s">
        <v>185</v>
      </c>
    </row>
    <row r="55" spans="1:9" s="7" customFormat="1" ht="12" customHeight="1" x14ac:dyDescent="0.3">
      <c r="A55" s="5" t="str">
        <f t="shared" si="3"/>
        <v>RDX-TP3869</v>
      </c>
      <c r="B55" s="5" t="s">
        <v>192</v>
      </c>
      <c r="C55" s="4" t="s">
        <v>153</v>
      </c>
      <c r="D55" s="26" t="s">
        <v>154</v>
      </c>
      <c r="E55" s="21" t="s">
        <v>155</v>
      </c>
      <c r="F55" s="22" t="s">
        <v>5</v>
      </c>
      <c r="G55" s="6">
        <v>6400</v>
      </c>
      <c r="H55" s="13">
        <f t="shared" si="2"/>
        <v>6848</v>
      </c>
      <c r="I55" s="11" t="s">
        <v>185</v>
      </c>
    </row>
    <row r="56" spans="1:9" s="7" customFormat="1" ht="12" customHeight="1" x14ac:dyDescent="0.3">
      <c r="A56" s="5" t="str">
        <f t="shared" si="3"/>
        <v>RDX-TR1697</v>
      </c>
      <c r="B56" s="5" t="s">
        <v>192</v>
      </c>
      <c r="C56" s="8" t="s">
        <v>156</v>
      </c>
      <c r="D56" s="5" t="s">
        <v>157</v>
      </c>
      <c r="E56" s="21" t="s">
        <v>81</v>
      </c>
      <c r="F56" s="22" t="s">
        <v>158</v>
      </c>
      <c r="G56" s="6">
        <v>15400</v>
      </c>
      <c r="H56" s="13">
        <f t="shared" si="2"/>
        <v>16478</v>
      </c>
      <c r="I56" s="11" t="s">
        <v>185</v>
      </c>
    </row>
    <row r="57" spans="1:9" s="7" customFormat="1" ht="12" customHeight="1" x14ac:dyDescent="0.3">
      <c r="A57" s="5" t="str">
        <f t="shared" si="3"/>
        <v>RDX-UA3824</v>
      </c>
      <c r="B57" s="5" t="s">
        <v>192</v>
      </c>
      <c r="C57" s="4" t="s">
        <v>160</v>
      </c>
      <c r="D57" s="5" t="s">
        <v>161</v>
      </c>
      <c r="E57" s="25" t="s">
        <v>159</v>
      </c>
      <c r="F57" s="22" t="s">
        <v>162</v>
      </c>
      <c r="G57" s="6">
        <v>13800</v>
      </c>
      <c r="H57" s="13">
        <f t="shared" si="2"/>
        <v>14766</v>
      </c>
      <c r="I57" s="11" t="s">
        <v>186</v>
      </c>
    </row>
    <row r="58" spans="1:9" s="7" customFormat="1" ht="12" customHeight="1" x14ac:dyDescent="0.3">
      <c r="A58" s="5" t="str">
        <f t="shared" si="3"/>
        <v>RDX-UA3870</v>
      </c>
      <c r="B58" s="5" t="s">
        <v>192</v>
      </c>
      <c r="C58" s="4" t="s">
        <v>163</v>
      </c>
      <c r="D58" s="20" t="s">
        <v>164</v>
      </c>
      <c r="E58" s="25" t="s">
        <v>159</v>
      </c>
      <c r="F58" s="22" t="s">
        <v>5</v>
      </c>
      <c r="G58" s="6">
        <v>20800</v>
      </c>
      <c r="H58" s="13">
        <f t="shared" si="2"/>
        <v>22256</v>
      </c>
      <c r="I58" s="11" t="s">
        <v>186</v>
      </c>
    </row>
    <row r="59" spans="1:9" s="7" customFormat="1" ht="12" customHeight="1" x14ac:dyDescent="0.3">
      <c r="A59" s="5" t="str">
        <f t="shared" si="3"/>
        <v>RDX-UP1570</v>
      </c>
      <c r="B59" s="5" t="s">
        <v>192</v>
      </c>
      <c r="C59" s="8" t="s">
        <v>165</v>
      </c>
      <c r="D59" s="5" t="s">
        <v>166</v>
      </c>
      <c r="E59" s="21" t="s">
        <v>12</v>
      </c>
      <c r="F59" s="22" t="s">
        <v>167</v>
      </c>
      <c r="G59" s="6">
        <v>23000</v>
      </c>
      <c r="H59" s="13">
        <f t="shared" si="2"/>
        <v>24610</v>
      </c>
      <c r="I59" s="11" t="s">
        <v>181</v>
      </c>
    </row>
    <row r="60" spans="1:9" s="7" customFormat="1" ht="12" customHeight="1" x14ac:dyDescent="0.3">
      <c r="A60" s="5" t="str">
        <f t="shared" si="3"/>
        <v>RDX-UR3825</v>
      </c>
      <c r="B60" s="5" t="s">
        <v>192</v>
      </c>
      <c r="C60" s="4" t="s">
        <v>168</v>
      </c>
      <c r="D60" s="5" t="s">
        <v>169</v>
      </c>
      <c r="E60" s="21" t="s">
        <v>170</v>
      </c>
      <c r="F60" s="22" t="s">
        <v>162</v>
      </c>
      <c r="G60" s="6">
        <v>9800</v>
      </c>
      <c r="H60" s="13">
        <f t="shared" si="2"/>
        <v>10486</v>
      </c>
      <c r="I60" s="11" t="s">
        <v>185</v>
      </c>
    </row>
    <row r="61" spans="1:9" s="7" customFormat="1" ht="12" customHeight="1" x14ac:dyDescent="0.3">
      <c r="A61" s="5" t="str">
        <f t="shared" si="3"/>
        <v>RDX-UR446</v>
      </c>
      <c r="B61" s="5" t="s">
        <v>192</v>
      </c>
      <c r="C61" s="8" t="s">
        <v>171</v>
      </c>
      <c r="D61" s="5" t="s">
        <v>172</v>
      </c>
      <c r="E61" s="21" t="s">
        <v>170</v>
      </c>
      <c r="F61" s="22" t="s">
        <v>125</v>
      </c>
      <c r="G61" s="6">
        <v>9800</v>
      </c>
      <c r="H61" s="13">
        <f t="shared" si="2"/>
        <v>10486</v>
      </c>
      <c r="I61" s="11" t="s">
        <v>185</v>
      </c>
    </row>
    <row r="62" spans="1:9" s="7" customFormat="1" ht="12" customHeight="1" x14ac:dyDescent="0.3">
      <c r="A62" s="5" t="str">
        <f t="shared" si="3"/>
        <v>RDX-ZN2341</v>
      </c>
      <c r="B62" s="5" t="s">
        <v>192</v>
      </c>
      <c r="C62" s="8" t="s">
        <v>173</v>
      </c>
      <c r="D62" s="5" t="s">
        <v>174</v>
      </c>
      <c r="E62" s="21" t="s">
        <v>12</v>
      </c>
      <c r="F62" s="22" t="s">
        <v>175</v>
      </c>
      <c r="G62" s="6">
        <v>12000</v>
      </c>
      <c r="H62" s="13">
        <f t="shared" si="2"/>
        <v>12840</v>
      </c>
      <c r="I62" s="11" t="s">
        <v>185</v>
      </c>
    </row>
    <row r="63" spans="1:9" s="7" customFormat="1" ht="12" customHeight="1" x14ac:dyDescent="0.3">
      <c r="A63" s="5" t="str">
        <f t="shared" si="3"/>
        <v>RDX-ZN2607</v>
      </c>
      <c r="B63" s="5" t="s">
        <v>192</v>
      </c>
      <c r="C63" s="8" t="s">
        <v>176</v>
      </c>
      <c r="D63" s="5" t="s">
        <v>177</v>
      </c>
      <c r="E63" s="21" t="s">
        <v>12</v>
      </c>
      <c r="F63" s="22" t="s">
        <v>178</v>
      </c>
      <c r="G63" s="6">
        <v>16800</v>
      </c>
      <c r="H63" s="13">
        <f t="shared" si="2"/>
        <v>17976</v>
      </c>
      <c r="I63" s="11" t="s">
        <v>185</v>
      </c>
    </row>
    <row r="64" spans="1:9" ht="12.5" customHeight="1" x14ac:dyDescent="0.45"/>
    <row r="65" ht="12.5" customHeight="1" x14ac:dyDescent="0.45"/>
    <row r="66" ht="12.5" customHeight="1" x14ac:dyDescent="0.45"/>
    <row r="67" ht="12.5" customHeight="1" x14ac:dyDescent="0.45"/>
    <row r="68" ht="12.5" customHeight="1" x14ac:dyDescent="0.45"/>
    <row r="69" ht="12.5" customHeight="1" x14ac:dyDescent="0.45"/>
    <row r="70" ht="12.5" customHeight="1" x14ac:dyDescent="0.45"/>
    <row r="71" ht="12.5" customHeight="1" x14ac:dyDescent="0.45"/>
    <row r="72" ht="12.5" customHeight="1" x14ac:dyDescent="0.45"/>
    <row r="73" ht="12.5" customHeight="1" x14ac:dyDescent="0.45"/>
    <row r="74" ht="12.5" customHeight="1" x14ac:dyDescent="0.45"/>
    <row r="75" ht="12.5" customHeight="1" x14ac:dyDescent="0.45"/>
    <row r="76" ht="12.5" customHeight="1" x14ac:dyDescent="0.45"/>
    <row r="77" ht="12.5" customHeight="1" x14ac:dyDescent="0.45"/>
    <row r="78" ht="12.5" customHeight="1" x14ac:dyDescent="0.45"/>
    <row r="79" ht="12.5" customHeight="1" x14ac:dyDescent="0.45"/>
    <row r="80" ht="12.5" customHeight="1" x14ac:dyDescent="0.45"/>
    <row r="81" ht="12.5" customHeight="1" x14ac:dyDescent="0.45"/>
    <row r="82" ht="12.5" customHeight="1" x14ac:dyDescent="0.45"/>
    <row r="83" ht="12.5" customHeight="1" x14ac:dyDescent="0.45"/>
    <row r="84" ht="12.5" customHeight="1" x14ac:dyDescent="0.45"/>
    <row r="85" ht="12.5" customHeight="1" x14ac:dyDescent="0.45"/>
    <row r="86" ht="12.5" customHeight="1" x14ac:dyDescent="0.45"/>
    <row r="87" ht="12.5" customHeight="1" x14ac:dyDescent="0.45"/>
    <row r="88" ht="12.5" customHeight="1" x14ac:dyDescent="0.45"/>
  </sheetData>
  <mergeCells count="4">
    <mergeCell ref="D4:D5"/>
    <mergeCell ref="I4:I5"/>
    <mergeCell ref="E4:E5"/>
    <mergeCell ref="A2:I2"/>
  </mergeCells>
  <pageMargins left="0.46" right="0.27" top="0.25" bottom="0.25" header="0.36" footer="0.17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Reagents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Jeeranan Saen-atit</dc:creator>
  <cp:lastModifiedBy>Kunyarat</cp:lastModifiedBy>
  <cp:lastPrinted>2025-07-13T05:59:49Z</cp:lastPrinted>
  <dcterms:created xsi:type="dcterms:W3CDTF">2025-07-11T03:47:23Z</dcterms:created>
  <dcterms:modified xsi:type="dcterms:W3CDTF">2026-03-17T10:25:30Z</dcterms:modified>
</cp:coreProperties>
</file>