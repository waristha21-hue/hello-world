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iko\Desktop\"/>
    </mc:Choice>
  </mc:AlternateContent>
  <xr:revisionPtr revIDLastSave="0" documentId="13_ncr:1_{A49A546D-B902-4B7E-BB8A-197F8221CE51}" xr6:coauthVersionLast="47" xr6:coauthVersionMax="47" xr10:uidLastSave="{00000000-0000-0000-0000-000000000000}"/>
  <bookViews>
    <workbookView xWindow="-110" yWindow="-110" windowWidth="19420" windowHeight="10300" xr2:uid="{40F02712-FA72-4E19-BBE6-829EDF43A69E}"/>
  </bookViews>
  <sheets>
    <sheet name="RIQAS (2)" sheetId="3" r:id="rId1"/>
  </sheets>
  <definedNames>
    <definedName name="_xlnm._FilterDatabase" localSheetId="0" hidden="1">'RIQAS (2)'!$A$3:$F$39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1" i="3"/>
  <c r="F20" i="3"/>
  <c r="F19" i="3"/>
  <c r="F18" i="3"/>
  <c r="F17" i="3"/>
  <c r="F16" i="3"/>
  <c r="F15" i="3"/>
  <c r="F14" i="3"/>
  <c r="F13" i="3"/>
  <c r="F12" i="3"/>
  <c r="F11" i="3"/>
  <c r="F22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<sst xmlns="http://schemas.openxmlformats.org/spreadsheetml/2006/main" count="82" uniqueCount="80">
  <si>
    <t>P/N</t>
  </si>
  <si>
    <t>RQ9111</t>
  </si>
  <si>
    <t>RQ9114</t>
  </si>
  <si>
    <t>RQ9187</t>
  </si>
  <si>
    <t>RQ9115</t>
  </si>
  <si>
    <t>RQ9118</t>
  </si>
  <si>
    <t>RQ9140</t>
  </si>
  <si>
    <t>RQ9126/A</t>
  </si>
  <si>
    <t>RQ9127/B</t>
  </si>
  <si>
    <t>RQ9186</t>
  </si>
  <si>
    <t>RQ9128</t>
  </si>
  <si>
    <t>RQ9129</t>
  </si>
  <si>
    <t>RQ9130</t>
  </si>
  <si>
    <t>RQ9134</t>
  </si>
  <si>
    <t>RQ9135/A</t>
  </si>
  <si>
    <t>RQ9137</t>
  </si>
  <si>
    <t>RQ9138</t>
  </si>
  <si>
    <t>RQ9139</t>
  </si>
  <si>
    <t>RQ9141</t>
  </si>
  <si>
    <t>RQ9142</t>
  </si>
  <si>
    <t>RQ9151</t>
  </si>
  <si>
    <t>RQ9152</t>
  </si>
  <si>
    <t>RQ9154</t>
  </si>
  <si>
    <t>RQ9163</t>
  </si>
  <si>
    <t>RQ9164</t>
  </si>
  <si>
    <t>RQ9165</t>
  </si>
  <si>
    <t>RQ9174</t>
  </si>
  <si>
    <t>RQ9175</t>
  </si>
  <si>
    <t>RQ9185</t>
  </si>
  <si>
    <t>RQ9190</t>
  </si>
  <si>
    <t>RQ9191</t>
  </si>
  <si>
    <t>RQ9194</t>
  </si>
  <si>
    <t>RQ9198</t>
  </si>
  <si>
    <t>RQ9159</t>
  </si>
  <si>
    <t>RIQAS Immunosuppressant Programme</t>
  </si>
  <si>
    <t>RQ9197</t>
  </si>
  <si>
    <t>RIQAS Microbiology Programme</t>
  </si>
  <si>
    <t xml:space="preserve"> N-Health code</t>
  </si>
  <si>
    <t>RQ9112/C</t>
  </si>
  <si>
    <t>RIQAS Therapeutic Drugs Programme</t>
  </si>
  <si>
    <t>RIQAS Specific Protein Programme (Bi-weekly)</t>
  </si>
  <si>
    <t>RIQAS General Clinical Chemistry  Programme (Bi-weekly)</t>
  </si>
  <si>
    <t>RIQAS Human Urine Programme  (Bi-weekly)</t>
  </si>
  <si>
    <t>RIQAS Hematology Programme (Bi-Weekly)</t>
  </si>
  <si>
    <t>RIQAS Lipid Programme</t>
  </si>
  <si>
    <t>RIQAS Cardiac Programme (7 parameters) (Bi-weekly)</t>
  </si>
  <si>
    <t>RIQAS Monthly Cardiac Programme (Monthly)</t>
  </si>
  <si>
    <t>RIQAS Monthly Chemistry Programme</t>
  </si>
  <si>
    <t>RIQAS Glycated Haemoglobin Programme (Hba1C)</t>
  </si>
  <si>
    <t>RIQAS Monthly Immunoassay Programme</t>
  </si>
  <si>
    <t>RIQAS Blood Gas Programme</t>
  </si>
  <si>
    <t>RIQAS Coagulation Programme</t>
  </si>
  <si>
    <t>RIQAS Maternal Screening Programme</t>
  </si>
  <si>
    <t>RIQAS Urinalysis Programme</t>
  </si>
  <si>
    <t>RIQAS Urine Toxicology Programme</t>
  </si>
  <si>
    <t>RIQAS Immunoassay Speciality 1</t>
  </si>
  <si>
    <t>RIQAS Immunoassay Speciality 2</t>
  </si>
  <si>
    <t>RIQAS Serology (HIV-Hepatitis) Programme</t>
  </si>
  <si>
    <t>RIQAS ESR Programme</t>
  </si>
  <si>
    <t>RIQAS Ammonia/Ethanol Programme</t>
  </si>
  <si>
    <t>RIQAS BNP Programme</t>
  </si>
  <si>
    <t>RIQAS CYFRA21-1 Programme</t>
  </si>
  <si>
    <t>RIQAS Neonatal Bilirubin Programme</t>
  </si>
  <si>
    <t>RIQAS Serum Indices Programme</t>
  </si>
  <si>
    <t>RIQAS AMH Programme</t>
  </si>
  <si>
    <t>RIQAS Serology (ToRCH) Programme</t>
  </si>
  <si>
    <t>RIQAS Serology (Syphilis) Programme</t>
  </si>
  <si>
    <t>RIQAS Anti-TSH Receptor Programme</t>
  </si>
  <si>
    <t>RIQAS  Monthly Human Urine Programme</t>
  </si>
  <si>
    <t>RIQAS Monthly Cardiac Plus Programme</t>
  </si>
  <si>
    <t xml:space="preserve">RIQAS Monthly Specific Protein  Programme </t>
  </si>
  <si>
    <t xml:space="preserve">RIQAS Monthly Hematology Programme </t>
  </si>
  <si>
    <t>N/A</t>
  </si>
  <si>
    <t>No.</t>
  </si>
  <si>
    <t xml:space="preserve">Price </t>
  </si>
  <si>
    <t>(w/o VAT)</t>
  </si>
  <si>
    <t>(w / VAT)</t>
  </si>
  <si>
    <t>Descriptions</t>
  </si>
  <si>
    <t xml:space="preserve">ราคา RIQAS เครือ N Health </t>
  </si>
  <si>
    <t xml:space="preserve">  Validity: January 1, 2025  to December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</si>
</sst>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Aptos"/>
      <family val="2"/>
    </font>
    <font>
      <sz val="10"/>
      <name val="Aptos"/>
      <family val="2"/>
    </font>
    <font>
      <sz val="9"/>
      <color theme="1"/>
      <name val="Aptos"/>
      <family val="2"/>
    </font>
    <font>
      <b/>
      <sz val="10"/>
      <name val="Aptos"/>
      <family val="2"/>
    </font>
    <font>
      <b/>
      <sz val="9"/>
      <color theme="1"/>
      <name val="Aptos"/>
      <family val="2"/>
      <charset val="222"/>
    </font>
    <font>
      <sz val="9"/>
      <color rgb="FF0070C0"/>
      <name val="Aptos"/>
      <family val="2"/>
    </font>
    <font>
      <sz val="10"/>
      <name val="Arial"/>
      <family val="2"/>
    </font>
    <font>
      <sz val="9"/>
      <name val="Aptos"/>
      <family val="2"/>
    </font>
    <font>
      <sz val="9"/>
      <color theme="3" tint="0.249977111117893"/>
      <name val="Aptos"/>
      <family val="2"/>
    </font>
    <font>
      <b/>
      <sz val="9"/>
      <color theme="3" tint="0.249977111117893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43" fontId="3" fillId="0" borderId="1" xfId="1" applyFont="1" applyFill="1" applyBorder="1" applyAlignment="1">
      <alignment horizontal="center" vertical="center" shrinkToFit="1"/>
    </xf>
    <xf numFmtId="43" fontId="3" fillId="0" borderId="1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43" fontId="3" fillId="0" borderId="1" xfId="1" applyFont="1" applyFill="1" applyBorder="1" applyAlignment="1">
      <alignment vertical="center" shrinkToFi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2" fontId="3" fillId="0" borderId="1" xfId="2" applyNumberFormat="1" applyFont="1" applyBorder="1" applyAlignment="1" applyProtection="1">
      <alignment vertical="center"/>
      <protection locked="0"/>
    </xf>
    <xf numFmtId="4" fontId="3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DFBC39F-1B62-48DF-B20C-DABD5F261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4794-6814-4B50-B84F-467A9B457834}">
  <sheetPr>
    <pageSetUpPr fitToPage="1"/>
  </sheetPr>
  <dimension ref="A1:G41"/>
  <sheetViews>
    <sheetView tabSelected="1" zoomScale="104" zoomScaleNormal="124" workbookViewId="0">
      <pane xSplit="4" ySplit="3" topLeftCell="E28" activePane="bottomRight" state="frozen"/>
      <selection pane="topRight" activeCell="D1" sqref="D1"/>
      <selection pane="bottomLeft" activeCell="A3" sqref="A3"/>
      <selection pane="bottomRight" activeCell="D36" sqref="D36"/>
    </sheetView>
  </sheetViews>
  <sheetFormatPr defaultRowHeight="14" x14ac:dyDescent="0.3"/>
  <cols>
    <col min="1" max="1" width="4.9140625" style="2" customWidth="1"/>
    <col min="2" max="2" width="18" style="15" customWidth="1"/>
    <col min="3" max="3" width="8.83203125" style="15" customWidth="1"/>
    <col min="4" max="4" width="45.33203125" style="2" bestFit="1" customWidth="1"/>
    <col min="5" max="5" width="9.9140625" style="9" bestFit="1" customWidth="1"/>
    <col min="6" max="6" width="9.9140625" style="10" customWidth="1"/>
    <col min="8" max="16384" width="8.6640625" style="2"/>
  </cols>
  <sheetData>
    <row r="1" spans="1:7" ht="35" customHeight="1" x14ac:dyDescent="0.3">
      <c r="A1" s="17" t="s">
        <v>78</v>
      </c>
      <c r="B1" s="17"/>
      <c r="C1" s="17"/>
      <c r="D1" s="17"/>
      <c r="E1" s="17"/>
      <c r="F1" s="17"/>
    </row>
    <row r="2" spans="1:7" ht="35" customHeight="1" x14ac:dyDescent="0.3">
      <c r="A2" s="20" t="s">
        <v>79</v>
      </c>
      <c r="B2" s="20"/>
      <c r="C2" s="20"/>
      <c r="D2" s="20"/>
      <c r="E2" s="20"/>
      <c r="F2" s="20"/>
    </row>
    <row r="3" spans="1:7" s="4" customFormat="1" x14ac:dyDescent="0.3">
      <c r="A3" s="18" t="s">
        <v>73</v>
      </c>
      <c r="B3" s="19" t="s">
        <v>37</v>
      </c>
      <c r="C3" s="18" t="s">
        <v>0</v>
      </c>
      <c r="D3" s="18" t="s">
        <v>77</v>
      </c>
      <c r="E3" s="3" t="s">
        <v>74</v>
      </c>
      <c r="F3" s="3" t="s">
        <v>74</v>
      </c>
    </row>
    <row r="4" spans="1:7" s="4" customFormat="1" x14ac:dyDescent="0.3">
      <c r="A4" s="18"/>
      <c r="B4" s="19"/>
      <c r="C4" s="18"/>
      <c r="D4" s="18"/>
      <c r="E4" s="3" t="s">
        <v>75</v>
      </c>
      <c r="F4" s="3" t="s">
        <v>76</v>
      </c>
    </row>
    <row r="5" spans="1:7" x14ac:dyDescent="0.3">
      <c r="A5" s="1">
        <v>1</v>
      </c>
      <c r="B5" s="16">
        <v>41111700700022</v>
      </c>
      <c r="C5" s="11" t="s">
        <v>1</v>
      </c>
      <c r="D5" s="11" t="s">
        <v>39</v>
      </c>
      <c r="E5" s="5">
        <v>31000</v>
      </c>
      <c r="F5" s="5">
        <f>E5*1.07</f>
        <v>33170</v>
      </c>
      <c r="G5" s="14"/>
    </row>
    <row r="6" spans="1:7" x14ac:dyDescent="0.3">
      <c r="A6" s="1">
        <v>2</v>
      </c>
      <c r="B6" s="16">
        <v>41104100700134</v>
      </c>
      <c r="C6" s="11" t="s">
        <v>38</v>
      </c>
      <c r="D6" s="11" t="s">
        <v>41</v>
      </c>
      <c r="E6" s="5">
        <v>45000</v>
      </c>
      <c r="F6" s="5">
        <f t="shared" ref="F6:F39" si="0">E6*1.07</f>
        <v>48150</v>
      </c>
      <c r="G6" s="14"/>
    </row>
    <row r="7" spans="1:7" x14ac:dyDescent="0.3">
      <c r="A7" s="1">
        <v>3</v>
      </c>
      <c r="B7" s="16">
        <v>41111739700056</v>
      </c>
      <c r="C7" s="11" t="s">
        <v>2</v>
      </c>
      <c r="D7" s="11" t="s">
        <v>40</v>
      </c>
      <c r="E7" s="5">
        <v>37000</v>
      </c>
      <c r="F7" s="5">
        <f t="shared" si="0"/>
        <v>39590</v>
      </c>
      <c r="G7" s="14"/>
    </row>
    <row r="8" spans="1:7" x14ac:dyDescent="0.3">
      <c r="A8" s="1">
        <v>4</v>
      </c>
      <c r="B8" s="16" t="s">
        <v>72</v>
      </c>
      <c r="C8" s="11" t="s">
        <v>3</v>
      </c>
      <c r="D8" s="11" t="s">
        <v>70</v>
      </c>
      <c r="E8" s="6">
        <v>19800</v>
      </c>
      <c r="F8" s="5">
        <f t="shared" si="0"/>
        <v>21186</v>
      </c>
      <c r="G8" s="14"/>
    </row>
    <row r="9" spans="1:7" x14ac:dyDescent="0.3">
      <c r="A9" s="1">
        <v>5</v>
      </c>
      <c r="B9" s="16">
        <v>41116000700282</v>
      </c>
      <c r="C9" s="11" t="s">
        <v>4</v>
      </c>
      <c r="D9" s="11" t="s">
        <v>42</v>
      </c>
      <c r="E9" s="5">
        <v>50000</v>
      </c>
      <c r="F9" s="5">
        <f t="shared" si="0"/>
        <v>53500</v>
      </c>
      <c r="G9" s="14"/>
    </row>
    <row r="10" spans="1:7" x14ac:dyDescent="0.3">
      <c r="A10" s="1">
        <v>6</v>
      </c>
      <c r="B10" s="16">
        <v>41111700700033</v>
      </c>
      <c r="C10" s="11" t="s">
        <v>5</v>
      </c>
      <c r="D10" s="11" t="s">
        <v>43</v>
      </c>
      <c r="E10" s="5">
        <v>49900</v>
      </c>
      <c r="F10" s="5">
        <f t="shared" si="0"/>
        <v>53393</v>
      </c>
      <c r="G10" s="14"/>
    </row>
    <row r="11" spans="1:7" x14ac:dyDescent="0.3">
      <c r="A11" s="1">
        <v>7</v>
      </c>
      <c r="B11" s="16">
        <v>41111700700149</v>
      </c>
      <c r="C11" s="11" t="s">
        <v>7</v>
      </c>
      <c r="D11" s="11" t="s">
        <v>44</v>
      </c>
      <c r="E11" s="5">
        <v>28000</v>
      </c>
      <c r="F11" s="5">
        <f t="shared" si="0"/>
        <v>29960</v>
      </c>
      <c r="G11" s="14"/>
    </row>
    <row r="12" spans="1:7" x14ac:dyDescent="0.3">
      <c r="A12" s="1">
        <v>8</v>
      </c>
      <c r="B12" s="16">
        <v>41111700700167</v>
      </c>
      <c r="C12" s="11" t="s">
        <v>8</v>
      </c>
      <c r="D12" s="12" t="s">
        <v>45</v>
      </c>
      <c r="E12" s="5">
        <v>34000</v>
      </c>
      <c r="F12" s="5">
        <f t="shared" si="0"/>
        <v>36380</v>
      </c>
      <c r="G12" s="14"/>
    </row>
    <row r="13" spans="1:7" x14ac:dyDescent="0.3">
      <c r="A13" s="1">
        <v>9</v>
      </c>
      <c r="B13" s="16" t="s">
        <v>72</v>
      </c>
      <c r="C13" s="11" t="s">
        <v>9</v>
      </c>
      <c r="D13" s="12" t="s">
        <v>46</v>
      </c>
      <c r="E13" s="5">
        <v>22000</v>
      </c>
      <c r="F13" s="5">
        <f t="shared" si="0"/>
        <v>23540</v>
      </c>
      <c r="G13" s="14"/>
    </row>
    <row r="14" spans="1:7" x14ac:dyDescent="0.3">
      <c r="A14" s="1">
        <v>10</v>
      </c>
      <c r="B14" s="16">
        <v>41116000700790</v>
      </c>
      <c r="C14" s="11" t="s">
        <v>10</v>
      </c>
      <c r="D14" s="11" t="s">
        <v>47</v>
      </c>
      <c r="E14" s="5">
        <v>22900</v>
      </c>
      <c r="F14" s="5">
        <f t="shared" si="0"/>
        <v>24503</v>
      </c>
      <c r="G14" s="14"/>
    </row>
    <row r="15" spans="1:7" x14ac:dyDescent="0.3">
      <c r="A15" s="1">
        <v>11</v>
      </c>
      <c r="B15" s="16">
        <v>41116000700281</v>
      </c>
      <c r="C15" s="11" t="s">
        <v>11</v>
      </c>
      <c r="D15" s="11" t="s">
        <v>48</v>
      </c>
      <c r="E15" s="5">
        <v>20800</v>
      </c>
      <c r="F15" s="5">
        <f t="shared" si="0"/>
        <v>22256</v>
      </c>
      <c r="G15" s="14"/>
    </row>
    <row r="16" spans="1:7" x14ac:dyDescent="0.3">
      <c r="A16" s="1">
        <v>12</v>
      </c>
      <c r="B16" s="16">
        <v>41116000700370</v>
      </c>
      <c r="C16" s="11" t="s">
        <v>12</v>
      </c>
      <c r="D16" s="11" t="s">
        <v>49</v>
      </c>
      <c r="E16" s="5">
        <v>33000</v>
      </c>
      <c r="F16" s="5">
        <f t="shared" si="0"/>
        <v>35310</v>
      </c>
      <c r="G16" s="14"/>
    </row>
    <row r="17" spans="1:7" x14ac:dyDescent="0.3">
      <c r="A17" s="1">
        <v>13</v>
      </c>
      <c r="B17" s="16">
        <v>41116000702058</v>
      </c>
      <c r="C17" s="11" t="s">
        <v>13</v>
      </c>
      <c r="D17" s="11" t="s">
        <v>50</v>
      </c>
      <c r="E17" s="5">
        <v>24500</v>
      </c>
      <c r="F17" s="5">
        <f t="shared" si="0"/>
        <v>26215</v>
      </c>
      <c r="G17" s="14"/>
    </row>
    <row r="18" spans="1:7" x14ac:dyDescent="0.3">
      <c r="A18" s="1">
        <v>14</v>
      </c>
      <c r="B18" s="16">
        <v>41111700700021</v>
      </c>
      <c r="C18" s="11" t="s">
        <v>14</v>
      </c>
      <c r="D18" s="11" t="s">
        <v>51</v>
      </c>
      <c r="E18" s="5">
        <v>25000</v>
      </c>
      <c r="F18" s="5">
        <f t="shared" si="0"/>
        <v>26750</v>
      </c>
      <c r="G18" s="14"/>
    </row>
    <row r="19" spans="1:7" x14ac:dyDescent="0.3">
      <c r="A19" s="1">
        <v>15</v>
      </c>
      <c r="B19" s="16">
        <v>41111739700057</v>
      </c>
      <c r="C19" s="11" t="s">
        <v>15</v>
      </c>
      <c r="D19" s="11" t="s">
        <v>52</v>
      </c>
      <c r="E19" s="5">
        <v>28000</v>
      </c>
      <c r="F19" s="5">
        <f t="shared" si="0"/>
        <v>29960</v>
      </c>
      <c r="G19" s="14"/>
    </row>
    <row r="20" spans="1:7" x14ac:dyDescent="0.3">
      <c r="A20" s="1">
        <v>16</v>
      </c>
      <c r="B20" s="16">
        <v>41111700700165</v>
      </c>
      <c r="C20" s="11" t="s">
        <v>16</v>
      </c>
      <c r="D20" s="11" t="s">
        <v>53</v>
      </c>
      <c r="E20" s="5">
        <v>28000</v>
      </c>
      <c r="F20" s="5">
        <f t="shared" si="0"/>
        <v>29960</v>
      </c>
      <c r="G20" s="14"/>
    </row>
    <row r="21" spans="1:7" x14ac:dyDescent="0.3">
      <c r="A21" s="1">
        <v>17</v>
      </c>
      <c r="B21" s="16">
        <v>41111700700024</v>
      </c>
      <c r="C21" s="11" t="s">
        <v>17</v>
      </c>
      <c r="D21" s="11" t="s">
        <v>54</v>
      </c>
      <c r="E21" s="5">
        <v>33800</v>
      </c>
      <c r="F21" s="5">
        <f t="shared" si="0"/>
        <v>36166</v>
      </c>
      <c r="G21" s="14"/>
    </row>
    <row r="22" spans="1:7" s="7" customFormat="1" ht="13" x14ac:dyDescent="0.3">
      <c r="A22" s="1">
        <v>18</v>
      </c>
      <c r="B22" s="16">
        <v>41111700700164</v>
      </c>
      <c r="C22" s="11" t="s">
        <v>6</v>
      </c>
      <c r="D22" s="11" t="s">
        <v>71</v>
      </c>
      <c r="E22" s="5">
        <v>37500</v>
      </c>
      <c r="F22" s="5">
        <f>E22*1.07</f>
        <v>40125</v>
      </c>
    </row>
    <row r="23" spans="1:7" ht="13" x14ac:dyDescent="0.3">
      <c r="A23" s="1">
        <v>19</v>
      </c>
      <c r="B23" s="16">
        <v>41116010700294</v>
      </c>
      <c r="C23" s="11" t="s">
        <v>18</v>
      </c>
      <c r="D23" s="11" t="s">
        <v>55</v>
      </c>
      <c r="E23" s="5">
        <v>26000</v>
      </c>
      <c r="F23" s="5">
        <f t="shared" si="0"/>
        <v>27820</v>
      </c>
      <c r="G23" s="2"/>
    </row>
    <row r="24" spans="1:7" ht="13" x14ac:dyDescent="0.3">
      <c r="A24" s="1">
        <v>20</v>
      </c>
      <c r="B24" s="16">
        <v>41116004701058</v>
      </c>
      <c r="C24" s="11" t="s">
        <v>19</v>
      </c>
      <c r="D24" s="11" t="s">
        <v>56</v>
      </c>
      <c r="E24" s="5">
        <v>26000</v>
      </c>
      <c r="F24" s="5">
        <f t="shared" si="0"/>
        <v>27820</v>
      </c>
      <c r="G24" s="2"/>
    </row>
    <row r="25" spans="1:7" ht="13" x14ac:dyDescent="0.3">
      <c r="A25" s="1">
        <v>21</v>
      </c>
      <c r="B25" s="16">
        <v>41111739700094</v>
      </c>
      <c r="C25" s="11" t="s">
        <v>20</v>
      </c>
      <c r="D25" s="11" t="s">
        <v>57</v>
      </c>
      <c r="E25" s="5">
        <v>20800</v>
      </c>
      <c r="F25" s="5">
        <f t="shared" si="0"/>
        <v>22256</v>
      </c>
      <c r="G25" s="2"/>
    </row>
    <row r="26" spans="1:7" ht="13" x14ac:dyDescent="0.3">
      <c r="A26" s="1">
        <v>22</v>
      </c>
      <c r="B26" s="16">
        <v>41111700700202</v>
      </c>
      <c r="C26" s="11" t="s">
        <v>21</v>
      </c>
      <c r="D26" s="11" t="s">
        <v>65</v>
      </c>
      <c r="E26" s="5">
        <v>53000</v>
      </c>
      <c r="F26" s="5">
        <f t="shared" si="0"/>
        <v>56710</v>
      </c>
      <c r="G26" s="2"/>
    </row>
    <row r="27" spans="1:7" ht="13" x14ac:dyDescent="0.3">
      <c r="A27" s="1">
        <v>23</v>
      </c>
      <c r="B27" s="16">
        <v>41111739000458</v>
      </c>
      <c r="C27" s="11" t="s">
        <v>22</v>
      </c>
      <c r="D27" s="11" t="s">
        <v>66</v>
      </c>
      <c r="E27" s="5">
        <v>12000</v>
      </c>
      <c r="F27" s="5">
        <f t="shared" si="0"/>
        <v>12840</v>
      </c>
      <c r="G27" s="2"/>
    </row>
    <row r="28" spans="1:7" ht="13" x14ac:dyDescent="0.3">
      <c r="A28" s="1">
        <v>24</v>
      </c>
      <c r="B28" s="16">
        <v>41111700700168</v>
      </c>
      <c r="C28" s="11" t="s">
        <v>23</v>
      </c>
      <c r="D28" s="11" t="s">
        <v>58</v>
      </c>
      <c r="E28" s="5">
        <v>21000</v>
      </c>
      <c r="F28" s="5">
        <f t="shared" si="0"/>
        <v>22470</v>
      </c>
      <c r="G28" s="2"/>
    </row>
    <row r="29" spans="1:7" ht="13" x14ac:dyDescent="0.3">
      <c r="A29" s="1">
        <v>25</v>
      </c>
      <c r="B29" s="16">
        <v>41116004700341</v>
      </c>
      <c r="C29" s="11" t="s">
        <v>24</v>
      </c>
      <c r="D29" s="11" t="s">
        <v>59</v>
      </c>
      <c r="E29" s="5">
        <v>26000</v>
      </c>
      <c r="F29" s="5">
        <f t="shared" si="0"/>
        <v>27820</v>
      </c>
      <c r="G29" s="2"/>
    </row>
    <row r="30" spans="1:7" ht="13" x14ac:dyDescent="0.3">
      <c r="A30" s="1">
        <v>26</v>
      </c>
      <c r="B30" s="16">
        <v>41116004700914</v>
      </c>
      <c r="C30" s="11" t="s">
        <v>25</v>
      </c>
      <c r="D30" s="11" t="s">
        <v>60</v>
      </c>
      <c r="E30" s="5">
        <v>25000</v>
      </c>
      <c r="F30" s="5">
        <f t="shared" si="0"/>
        <v>26750</v>
      </c>
      <c r="G30" s="2"/>
    </row>
    <row r="31" spans="1:7" ht="13" x14ac:dyDescent="0.3">
      <c r="A31" s="1">
        <v>27</v>
      </c>
      <c r="B31" s="16">
        <v>41116004700766</v>
      </c>
      <c r="C31" s="11" t="s">
        <v>26</v>
      </c>
      <c r="D31" s="12" t="s">
        <v>67</v>
      </c>
      <c r="E31" s="5">
        <v>22000</v>
      </c>
      <c r="F31" s="5">
        <f t="shared" si="0"/>
        <v>23540</v>
      </c>
      <c r="G31" s="2"/>
    </row>
    <row r="32" spans="1:7" ht="13" x14ac:dyDescent="0.3">
      <c r="A32" s="1">
        <v>28</v>
      </c>
      <c r="B32" s="16">
        <v>41116004700765</v>
      </c>
      <c r="C32" s="11" t="s">
        <v>27</v>
      </c>
      <c r="D32" s="12" t="s">
        <v>61</v>
      </c>
      <c r="E32" s="5">
        <v>22000</v>
      </c>
      <c r="F32" s="5">
        <f t="shared" si="0"/>
        <v>23540</v>
      </c>
      <c r="G32" s="2"/>
    </row>
    <row r="33" spans="1:7" ht="13" x14ac:dyDescent="0.3">
      <c r="A33" s="1">
        <v>29</v>
      </c>
      <c r="B33" s="16">
        <v>41111739700129</v>
      </c>
      <c r="C33" s="11" t="s">
        <v>28</v>
      </c>
      <c r="D33" s="12" t="s">
        <v>68</v>
      </c>
      <c r="E33" s="5">
        <v>32000</v>
      </c>
      <c r="F33" s="5">
        <f t="shared" si="0"/>
        <v>34240</v>
      </c>
      <c r="G33" s="2"/>
    </row>
    <row r="34" spans="1:7" ht="13" x14ac:dyDescent="0.3">
      <c r="A34" s="1">
        <v>30</v>
      </c>
      <c r="B34" s="16">
        <v>41116004700699</v>
      </c>
      <c r="C34" s="11" t="s">
        <v>29</v>
      </c>
      <c r="D34" s="11" t="s">
        <v>69</v>
      </c>
      <c r="E34" s="5">
        <v>49600</v>
      </c>
      <c r="F34" s="5">
        <f t="shared" si="0"/>
        <v>53072</v>
      </c>
      <c r="G34" s="2"/>
    </row>
    <row r="35" spans="1:7" ht="13" x14ac:dyDescent="0.3">
      <c r="A35" s="1">
        <v>31</v>
      </c>
      <c r="B35" s="16">
        <v>41116010700782</v>
      </c>
      <c r="C35" s="11" t="s">
        <v>30</v>
      </c>
      <c r="D35" s="11" t="s">
        <v>62</v>
      </c>
      <c r="E35" s="8">
        <v>20800</v>
      </c>
      <c r="F35" s="5">
        <f t="shared" si="0"/>
        <v>22256</v>
      </c>
      <c r="G35" s="2"/>
    </row>
    <row r="36" spans="1:7" ht="13" x14ac:dyDescent="0.3">
      <c r="A36" s="1">
        <v>32</v>
      </c>
      <c r="B36" s="16">
        <v>41116004700767</v>
      </c>
      <c r="C36" s="11" t="s">
        <v>31</v>
      </c>
      <c r="D36" s="11" t="s">
        <v>63</v>
      </c>
      <c r="E36" s="8">
        <v>22900</v>
      </c>
      <c r="F36" s="5">
        <f t="shared" si="0"/>
        <v>24503</v>
      </c>
      <c r="G36" s="2"/>
    </row>
    <row r="37" spans="1:7" ht="13" x14ac:dyDescent="0.3">
      <c r="A37" s="1">
        <v>33</v>
      </c>
      <c r="B37" s="16">
        <v>41111739700124</v>
      </c>
      <c r="C37" s="11" t="s">
        <v>32</v>
      </c>
      <c r="D37" s="11" t="s">
        <v>64</v>
      </c>
      <c r="E37" s="8">
        <v>27000</v>
      </c>
      <c r="F37" s="5">
        <f t="shared" si="0"/>
        <v>28890</v>
      </c>
      <c r="G37" s="2"/>
    </row>
    <row r="38" spans="1:7" ht="13" x14ac:dyDescent="0.3">
      <c r="A38" s="1">
        <v>34</v>
      </c>
      <c r="B38" s="16">
        <v>41116004701059</v>
      </c>
      <c r="C38" s="11" t="s">
        <v>33</v>
      </c>
      <c r="D38" s="11" t="s">
        <v>34</v>
      </c>
      <c r="E38" s="13">
        <v>83500</v>
      </c>
      <c r="F38" s="5">
        <f t="shared" si="0"/>
        <v>89345</v>
      </c>
      <c r="G38" s="2"/>
    </row>
    <row r="39" spans="1:7" ht="13" x14ac:dyDescent="0.3">
      <c r="A39" s="1">
        <v>35</v>
      </c>
      <c r="B39" s="16">
        <v>41116000702491</v>
      </c>
      <c r="C39" s="11" t="s">
        <v>35</v>
      </c>
      <c r="D39" s="11" t="s">
        <v>36</v>
      </c>
      <c r="E39" s="13">
        <v>19800</v>
      </c>
      <c r="F39" s="5">
        <f t="shared" si="0"/>
        <v>21186</v>
      </c>
      <c r="G39" s="2"/>
    </row>
    <row r="40" spans="1:7" ht="12" x14ac:dyDescent="0.3">
      <c r="G40" s="2"/>
    </row>
    <row r="41" spans="1:7" ht="12" x14ac:dyDescent="0.3">
      <c r="G41" s="2"/>
    </row>
  </sheetData>
  <mergeCells count="6">
    <mergeCell ref="A1:F1"/>
    <mergeCell ref="D3:D4"/>
    <mergeCell ref="C3:C4"/>
    <mergeCell ref="B3:B4"/>
    <mergeCell ref="A3:A4"/>
    <mergeCell ref="A2:F2"/>
  </mergeCells>
  <pageMargins left="0.28999999999999998" right="0.27" top="0.75" bottom="0.7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RIQAS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2942</dc:creator>
  <cp:lastModifiedBy>Kunyarat</cp:lastModifiedBy>
  <cp:lastPrinted>2025-10-08T04:36:01Z</cp:lastPrinted>
  <dcterms:created xsi:type="dcterms:W3CDTF">2025-03-04T11:27:24Z</dcterms:created>
  <dcterms:modified xsi:type="dcterms:W3CDTF">2025-10-08T04:36:13Z</dcterms:modified>
</cp:coreProperties>
</file>